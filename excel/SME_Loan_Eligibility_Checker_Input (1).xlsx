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500" firstSheet="6" activeTab="8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an Portfolio" sheetId="2" state="visible" r:id="rId2"/>
    <sheet xmlns:r="http://schemas.openxmlformats.org/officeDocument/2006/relationships" name="Eligibility Criteria" sheetId="3" state="visible" r:id="rId3"/>
    <sheet xmlns:r="http://schemas.openxmlformats.org/officeDocument/2006/relationships" name="FX Rates" sheetId="4" state="visible" r:id="rId4"/>
    <sheet xmlns:r="http://schemas.openxmlformats.org/officeDocument/2006/relationships" name="Data Integrity" sheetId="5" state="visible" r:id="rId5"/>
    <sheet xmlns:r="http://schemas.openxmlformats.org/officeDocument/2006/relationships" name="Concentration Analysis" sheetId="6" state="visible" r:id="rId6"/>
    <sheet xmlns:r="http://schemas.openxmlformats.org/officeDocument/2006/relationships" name="Validation Result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Audit Trail" sheetId="9" state="visible" r:id="rId9"/>
  </sheets>
  <definedNames>
    <definedName name="_xlnm._FilterDatabase" localSheetId="1" hidden="1">'Loan Portfolio'!$A$1:$S$31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dd/mm/yyyy\ hh:mm:ss"/>
  </numFmts>
  <fonts count="22">
    <font>
      <name val="Calibri"/>
      <charset val="1"/>
      <family val="2"/>
      <color theme="1"/>
      <sz val="11"/>
    </font>
    <font>
      <name val="Arial"/>
      <family val="2"/>
      <b val="1"/>
      <color rgb="FF1B2A4A"/>
      <sz val="14"/>
    </font>
    <font>
      <name val="Arial"/>
      <family val="2"/>
      <b val="1"/>
      <color rgb="FF2E5090"/>
      <sz val="12"/>
    </font>
    <font>
      <name val="Arial"/>
      <family val="2"/>
      <color rgb="FF404040"/>
      <sz val="10"/>
    </font>
    <font>
      <name val="Arial"/>
      <family val="2"/>
      <b val="1"/>
      <color rgb="FFFFFFFF"/>
      <sz val="11"/>
    </font>
    <font>
      <name val="Arial"/>
      <family val="2"/>
      <color rgb="FF0000FF"/>
      <sz val="10"/>
    </font>
    <font>
      <name val="Arial"/>
      <family val="2"/>
      <color rgb="FF000000"/>
      <sz val="10"/>
    </font>
    <font>
      <name val="Arial"/>
      <family val="2"/>
      <b val="1"/>
      <color rgb="FF1B2A4A"/>
      <sz val="10"/>
    </font>
    <font>
      <name val="Arial"/>
      <family val="2"/>
      <i val="1"/>
      <color rgb="FFD9D9D9"/>
      <sz val="10"/>
    </font>
    <font>
      <name val="Calibri"/>
      <family val="2"/>
      <b val="1"/>
      <color theme="1"/>
      <sz val="11"/>
    </font>
    <font>
      <name val="Calibri"/>
      <family val="2"/>
      <b val="1"/>
      <color theme="1"/>
      <sz val="12"/>
    </font>
    <font>
      <name val="Calibri"/>
      <charset val="1"/>
      <family val="2"/>
      <color rgb="FFE74C3C"/>
      <sz val="11"/>
    </font>
    <font>
      <name val="Calibri"/>
      <charset val="1"/>
      <family val="2"/>
      <color rgb="FFF39C12"/>
      <sz val="11"/>
    </font>
    <font>
      <name val="Calibri"/>
      <charset val="1"/>
      <family val="2"/>
      <color rgb="FF27AE60"/>
      <sz val="11"/>
    </font>
    <font>
      <name val="Calibri"/>
      <family val="2"/>
      <b val="1"/>
      <color rgb="FFE74C3C"/>
      <sz val="11"/>
    </font>
    <font>
      <name val="Arial"/>
      <family val="2"/>
      <b val="1"/>
      <i val="1"/>
      <color rgb="FFD9D9D9"/>
      <sz val="10"/>
    </font>
    <font>
      <name val="Arial"/>
      <family val="2"/>
      <b val="1"/>
      <color rgb="FF27AE60"/>
      <sz val="14"/>
    </font>
    <font>
      <name val="Arial"/>
      <family val="2"/>
      <b val="1"/>
      <color rgb="FFE74C3C"/>
      <sz val="14"/>
    </font>
    <font>
      <name val="Arial"/>
      <family val="2"/>
      <b val="1"/>
      <color rgb="FFF39C12"/>
      <sz val="10"/>
    </font>
    <font>
      <name val="Arial"/>
      <family val="2"/>
      <b val="1"/>
      <color rgb="FFE74C3C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39C12"/>
      <sz val="11"/>
    </font>
  </fonts>
  <fills count="9">
    <fill>
      <patternFill/>
    </fill>
    <fill>
      <patternFill patternType="gray125"/>
    </fill>
    <fill>
      <patternFill patternType="solid">
        <fgColor rgb="FF1B2A4A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E8F5E9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F8E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5" fontId="5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3" borderId="2" applyAlignment="1" pivotButton="0" quotePrefix="0" xfId="0">
      <alignment horizontal="center" vertical="center"/>
    </xf>
    <xf numFmtId="3" fontId="5" fillId="3" borderId="2" applyAlignment="1" pivotButton="0" quotePrefix="0" xfId="0">
      <alignment horizontal="center" vertical="center"/>
    </xf>
    <xf numFmtId="1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9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6" fontId="1" fillId="0" borderId="0" pivotButton="0" quotePrefix="0" xfId="0"/>
    <xf numFmtId="3" fontId="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167" fontId="7" fillId="0" borderId="0" pivotButton="0" quotePrefix="0" xfId="0"/>
    <xf numFmtId="0" fontId="13" fillId="4" borderId="0" pivotButton="0" quotePrefix="0" xfId="0"/>
    <xf numFmtId="0" fontId="20" fillId="5" borderId="0" pivotButton="0" quotePrefix="0" xfId="0"/>
    <xf numFmtId="0" fontId="11" fillId="6" borderId="0" pivotButton="0" quotePrefix="0" xfId="0"/>
    <xf numFmtId="0" fontId="20" fillId="7" borderId="0" pivotButton="0" quotePrefix="0" xfId="0"/>
    <xf numFmtId="0" fontId="12" fillId="8" borderId="0" pivotButton="0" quotePrefix="0" xfId="0"/>
    <xf numFmtId="0" fontId="21" fillId="8" borderId="0" pivotButton="0" quotePrefix="0" xfId="0"/>
    <xf numFmtId="0" fontId="14" fillId="6" borderId="0" pivotButton="0" quotePrefix="0" xfId="0"/>
    <xf numFmtId="0" fontId="0" fillId="0" borderId="1" pivotButton="0" quotePrefix="0" xfId="0"/>
    <xf numFmtId="167" fontId="0" fillId="0" borderId="1" pivotButton="0" quotePrefix="0" xfId="0"/>
    <xf numFmtId="0" fontId="13" fillId="0" borderId="1" pivotButton="0" quotePrefix="0" xfId="0"/>
    <xf numFmtId="0" fontId="1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1B2A4A"/>
      <rgbColor rgb="FF27AE60"/>
      <rgbColor rgb="FF003300"/>
      <rgbColor rgb="FF333300"/>
      <rgbColor rgb="FF993300"/>
      <rgbColor rgb="FF993366"/>
      <rgbColor rgb="FF2E509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1B2A4A"/>
    <outlinePr summaryBelow="1" summaryRight="1"/>
    <pageSetUpPr/>
  </sheetPr>
  <dimension ref="A1:A35"/>
  <sheetViews>
    <sheetView showGridLines="0" zoomScaleNormal="100" workbookViewId="0">
      <selection activeCell="A10" sqref="A10"/>
    </sheetView>
  </sheetViews>
  <sheetFormatPr baseColWidth="8" defaultColWidth="8.6328125" defaultRowHeight="14.5"/>
  <cols>
    <col width="85" customWidth="1" min="1" max="1"/>
  </cols>
  <sheetData>
    <row r="1" ht="18" customHeight="1">
      <c r="A1" s="2" t="inlineStr">
        <is>
          <t>SME Loan Eligibility Checker</t>
        </is>
      </c>
    </row>
    <row r="2" ht="15.5" customHeight="1">
      <c r="A2" s="3" t="inlineStr">
        <is>
          <t>BlackRock Private Data Service - Automation Portfolio</t>
        </is>
      </c>
    </row>
    <row r="3">
      <c r="A3" s="4" t="n"/>
    </row>
    <row r="4" ht="15.5" customHeight="1">
      <c r="A4" s="3" t="inlineStr">
        <is>
          <t>Purpose</t>
        </is>
      </c>
    </row>
    <row r="5">
      <c r="A5" s="4" t="inlineStr">
        <is>
          <t>This add-in validates SME loan portfolios against configurable eligibility criteria</t>
        </is>
      </c>
    </row>
    <row r="6">
      <c r="A6" s="4" t="inlineStr">
        <is>
          <t>for guarantee programs offered to EU financial intermediaries (banks, pension funds,</t>
        </is>
      </c>
    </row>
    <row r="7">
      <c r="A7" s="4" t="inlineStr">
        <is>
          <t>insurance companies). It automates what would otherwise be a manual, error-prone process.</t>
        </is>
      </c>
    </row>
    <row r="8">
      <c r="A8" s="4" t="n"/>
    </row>
    <row r="9" ht="15.5" customHeight="1">
      <c r="A9" s="3" t="inlineStr">
        <is>
          <t>How to Use</t>
        </is>
      </c>
    </row>
    <row r="10">
      <c r="A10" s="4" t="inlineStr">
        <is>
          <t>1. Enter loan portfolio data in the 'Loan Portfolio' sheet (or use the UserForm to add records)</t>
        </is>
      </c>
    </row>
    <row r="11">
      <c r="A11" s="4" t="inlineStr">
        <is>
          <t>2. Review and configure eligibility rules in the 'Eligibility Criteria' sheet</t>
        </is>
      </c>
    </row>
    <row r="12">
      <c r="A12" s="4" t="inlineStr">
        <is>
          <t>3. Set FX rates in the 'FX Rates' sheet if loans are in non-EUR currencies</t>
        </is>
      </c>
    </row>
    <row r="13">
      <c r="A13" s="4" t="inlineStr">
        <is>
          <t>4. Click 'Run Eligibility Check' from the custom ribbon tab or UserForm</t>
        </is>
      </c>
    </row>
    <row r="14">
      <c r="A14" s="4" t="inlineStr">
        <is>
          <t>5. Review results in 'Validation Results' and 'Dashboard' sheets</t>
        </is>
      </c>
    </row>
    <row r="15">
      <c r="A15" s="4" t="inlineStr">
        <is>
          <t>6. Export standardized report using the Export function</t>
        </is>
      </c>
    </row>
    <row r="16">
      <c r="A16" s="4" t="n"/>
    </row>
    <row r="17" ht="15.5" customHeight="1">
      <c r="A17" s="3" t="inlineStr">
        <is>
          <t>Sheets Overview</t>
        </is>
      </c>
    </row>
    <row r="18">
      <c r="A18" s="4" t="inlineStr">
        <is>
          <t>Loan Portfolio - Input sheet for bank loan submission data</t>
        </is>
      </c>
    </row>
    <row r="19">
      <c r="A19" s="4" t="inlineStr">
        <is>
          <t>Eligibility Criteria - Configurable rules per guarantee program</t>
        </is>
      </c>
    </row>
    <row r="20">
      <c r="A20" s="4" t="inlineStr">
        <is>
          <t>FX Rates - Currency conversion rates (base: EUR)</t>
        </is>
      </c>
    </row>
    <row r="21">
      <c r="A21" s="4" t="inlineStr">
        <is>
          <t>Data Integrity - Pre-validation checks (missing fields, duplicates, format errors)</t>
        </is>
      </c>
    </row>
    <row r="22">
      <c r="A22" s="4" t="inlineStr">
        <is>
          <t>Validation Results - Per-loan, per-criterion pass/fail with failure reasons</t>
        </is>
      </c>
    </row>
    <row r="23">
      <c r="A23" s="4" t="inlineStr">
        <is>
          <t>Concentration Analysis - Portfolio-level limit checks (borrower, sector, country)</t>
        </is>
      </c>
    </row>
    <row r="24">
      <c r="A24" s="4" t="inlineStr">
        <is>
          <t>Dashboard - Summary statistics and visual overview</t>
        </is>
      </c>
    </row>
    <row r="25">
      <c r="A25" s="4" t="inlineStr">
        <is>
          <t>Audit Trail - Timestamped log of every check run</t>
        </is>
      </c>
    </row>
    <row r="26">
      <c r="A26" s="4" t="n"/>
    </row>
    <row r="27" ht="15.5" customHeight="1">
      <c r="A27" s="3" t="inlineStr">
        <is>
          <t>Technical Notes</t>
        </is>
      </c>
    </row>
    <row r="28">
      <c r="A28" s="4" t="inlineStr">
        <is>
          <t>- All validation uses array-based batch processing for performance</t>
        </is>
      </c>
    </row>
    <row r="29">
      <c r="A29" s="4" t="inlineStr">
        <is>
          <t>- Eligibility criteria are fully configurable (no hardcoded thresholds)</t>
        </is>
      </c>
    </row>
    <row r="30">
      <c r="A30" s="4" t="inlineStr">
        <is>
          <t>- Multi-currency support with EUR-equivalent exposure calculations</t>
        </is>
      </c>
    </row>
    <row r="31">
      <c r="A31" s="4" t="inlineStr">
        <is>
          <t>- Audit trail captures every run for governance and compliance</t>
        </is>
      </c>
    </row>
    <row r="32">
      <c r="A32" s="4" t="inlineStr">
        <is>
          <t>- Conditional formatting applied dynamically by VBA engine</t>
        </is>
      </c>
    </row>
    <row r="33">
      <c r="A33" s="4" t="n"/>
    </row>
    <row r="34">
      <c r="A34" s="4" t="inlineStr">
        <is>
          <t>Author: Akhil Vohra | EDHEC Business School MBA 2026</t>
        </is>
      </c>
    </row>
    <row r="35">
      <c r="A35" s="4" t="inlineStr">
        <is>
          <t>Built as: Technical portfolio for BlackRock PDS Automation role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2">
    <tabColor rgb="FF2E5090"/>
    <outlinePr summaryBelow="1" summaryRight="1"/>
    <pageSetUpPr/>
  </sheetPr>
  <dimension ref="A1:S45"/>
  <sheetViews>
    <sheetView zoomScaleNormal="100" workbookViewId="0">
      <pane ySplit="1" topLeftCell="A8" activePane="bottomLeft" state="frozen"/>
      <selection pane="bottomLeft" activeCell="D24" sqref="D24"/>
    </sheetView>
  </sheetViews>
  <sheetFormatPr baseColWidth="8" defaultColWidth="8.6328125" defaultRowHeight="14.5"/>
  <cols>
    <col width="12" customWidth="1" min="1" max="1"/>
    <col width="16" customWidth="1" min="2" max="2"/>
    <col width="17" customWidth="1" min="3" max="3"/>
    <col width="18" customWidth="1" min="4" max="4"/>
    <col width="12" customWidth="1" min="5" max="5"/>
    <col width="21" customWidth="1" min="6" max="6"/>
    <col width="25" customWidth="1" min="7" max="7"/>
    <col width="12" customWidth="1" min="8" max="8"/>
    <col width="25" customWidth="1" min="9" max="9"/>
    <col width="12" customWidth="1" min="10" max="10"/>
    <col width="25" customWidth="1" min="11" max="11"/>
    <col width="23" customWidth="1" min="12" max="12"/>
    <col width="16" customWidth="1" min="13" max="13"/>
    <col width="21" customWidth="1" min="14" max="14"/>
    <col width="25" customWidth="1" min="15" max="16"/>
    <col width="22" customWidth="1" min="17" max="17"/>
    <col width="18" customWidth="1" min="18" max="18"/>
    <col width="12" customWidth="1" min="19" max="19"/>
  </cols>
  <sheetData>
    <row r="1" ht="28" customHeight="1">
      <c r="A1" s="5" t="inlineStr">
        <is>
          <t>Loan ID</t>
        </is>
      </c>
      <c r="B1" s="5" t="inlineStr">
        <is>
          <t>Borrower Name</t>
        </is>
      </c>
      <c r="C1" s="5" t="inlineStr">
        <is>
          <t>Country</t>
        </is>
      </c>
      <c r="D1" s="5" t="inlineStr">
        <is>
          <t>Sector</t>
        </is>
      </c>
      <c r="E1" s="5" t="inlineStr">
        <is>
          <t>NACE Code</t>
        </is>
      </c>
      <c r="F1" s="5" t="inlineStr">
        <is>
          <t>SME Classification</t>
        </is>
      </c>
      <c r="G1" s="5" t="inlineStr">
        <is>
          <t>Annual Revenue (Local CCY)</t>
        </is>
      </c>
      <c r="H1" s="5" t="inlineStr">
        <is>
          <t>Employees</t>
        </is>
      </c>
      <c r="I1" s="5" t="inlineStr">
        <is>
          <t>Loan Amount (Local CCY)</t>
        </is>
      </c>
      <c r="J1" s="5" t="inlineStr">
        <is>
          <t>Currency</t>
        </is>
      </c>
      <c r="K1" s="5" t="inlineStr">
        <is>
          <t>Loan Amount (EUR)</t>
        </is>
      </c>
      <c r="L1" s="5" t="inlineStr">
        <is>
          <t>Interest Rate (%)</t>
        </is>
      </c>
      <c r="M1" s="5" t="inlineStr">
        <is>
          <t>Maturity Date</t>
        </is>
      </c>
      <c r="N1" s="5" t="inlineStr">
        <is>
          <t>Loan Purpose</t>
        </is>
      </c>
      <c r="O1" s="5" t="inlineStr">
        <is>
          <t>Existing Guarantee (%)</t>
        </is>
      </c>
      <c r="P1" s="5" t="inlineStr">
        <is>
          <t>Collateral Value (Local CCY)</t>
        </is>
      </c>
      <c r="Q1" s="5" t="inlineStr">
        <is>
          <t>Date of Origination</t>
        </is>
      </c>
      <c r="R1" s="5" t="inlineStr">
        <is>
          <t>Borrower Tax ID</t>
        </is>
      </c>
      <c r="S1" s="5" t="inlineStr">
        <is>
          <t>Status</t>
        </is>
      </c>
    </row>
    <row r="2">
      <c r="A2" s="6" t="inlineStr">
        <is>
          <t>LN-0001</t>
        </is>
      </c>
      <c r="B2" s="6" t="inlineStr">
        <is>
          <t>Borrower_001</t>
        </is>
      </c>
      <c r="C2" s="6" t="inlineStr">
        <is>
          <t>Germany</t>
        </is>
      </c>
      <c r="D2" s="6" t="inlineStr">
        <is>
          <t>Manufacturing</t>
        </is>
      </c>
      <c r="E2" s="6" t="inlineStr">
        <is>
          <t>C10</t>
        </is>
      </c>
      <c r="F2" s="6" t="inlineStr">
        <is>
          <t>Micro</t>
        </is>
      </c>
      <c r="G2" s="7" t="n">
        <v>10777801</v>
      </c>
      <c r="H2" s="6" t="n">
        <v>29</v>
      </c>
      <c r="I2" s="7" t="n">
        <v>234805</v>
      </c>
      <c r="J2" s="6" t="inlineStr">
        <is>
          <t>EUR</t>
        </is>
      </c>
      <c r="K2" s="8">
        <f>IF(J2="EUR",I2,I2/VLOOKUP(J2,'FX Rates'!A:B,2,FALSE()))</f>
        <v/>
      </c>
      <c r="L2" s="9" t="n">
        <v>0.0669</v>
      </c>
      <c r="M2" s="10" t="n">
        <v>46704</v>
      </c>
      <c r="N2" s="6" t="inlineStr">
        <is>
          <t>Equipment Purchase</t>
        </is>
      </c>
      <c r="O2" s="11" t="n">
        <v>0</v>
      </c>
      <c r="P2" s="7" t="n">
        <v>26868</v>
      </c>
      <c r="Q2" s="10" t="n">
        <v>45984</v>
      </c>
      <c r="R2" s="6" t="inlineStr">
        <is>
          <t>GE895285932</t>
        </is>
      </c>
      <c r="S2" s="6" t="inlineStr">
        <is>
          <t>Pending</t>
        </is>
      </c>
    </row>
    <row r="3">
      <c r="A3" s="12" t="inlineStr">
        <is>
          <t>LN-0002</t>
        </is>
      </c>
      <c r="B3" s="12" t="inlineStr">
        <is>
          <t>Borrower_002</t>
        </is>
      </c>
      <c r="C3" s="12" t="inlineStr">
        <is>
          <t>France</t>
        </is>
      </c>
      <c r="D3" s="12" t="inlineStr">
        <is>
          <t>Retail</t>
        </is>
      </c>
      <c r="E3" s="12" t="inlineStr">
        <is>
          <t>G47</t>
        </is>
      </c>
      <c r="F3" s="12" t="inlineStr">
        <is>
          <t>Small</t>
        </is>
      </c>
      <c r="G3" s="13" t="n">
        <v>1508591</v>
      </c>
      <c r="H3" s="12" t="n">
        <v>152</v>
      </c>
      <c r="I3" s="13" t="n">
        <v>3564336</v>
      </c>
      <c r="J3" s="12" t="inlineStr">
        <is>
          <t>EUR</t>
        </is>
      </c>
      <c r="K3" s="14">
        <f>IF(J3="EUR",I3,I3/VLOOKUP(J3,'FX Rates'!A:B,2,FALSE()))</f>
        <v/>
      </c>
      <c r="L3" s="15" t="n">
        <v>0.0172</v>
      </c>
      <c r="M3" s="16" t="n">
        <v>46394</v>
      </c>
      <c r="N3" s="12" t="inlineStr">
        <is>
          <t>Equipment Purchase</t>
        </is>
      </c>
      <c r="O3" s="17" t="n">
        <v>0</v>
      </c>
      <c r="P3" s="13" t="n">
        <v>2119613</v>
      </c>
      <c r="Q3" s="16" t="n">
        <v>45908</v>
      </c>
      <c r="R3" s="12" t="inlineStr">
        <is>
          <t>FR128492780</t>
        </is>
      </c>
      <c r="S3" s="12" t="inlineStr">
        <is>
          <t>Pending</t>
        </is>
      </c>
    </row>
    <row r="4">
      <c r="A4" s="6" t="inlineStr">
        <is>
          <t>LN-0003</t>
        </is>
      </c>
      <c r="B4" s="6" t="inlineStr">
        <is>
          <t>Borrower_003</t>
        </is>
      </c>
      <c r="C4" s="6" t="inlineStr">
        <is>
          <t>Italy</t>
        </is>
      </c>
      <c r="D4" s="6" t="inlineStr">
        <is>
          <t>Technology</t>
        </is>
      </c>
      <c r="E4" s="6" t="inlineStr">
        <is>
          <t>J62</t>
        </is>
      </c>
      <c r="F4" s="6" t="inlineStr">
        <is>
          <t>Medium</t>
        </is>
      </c>
      <c r="G4" s="7" t="n">
        <v>3385942</v>
      </c>
      <c r="H4" s="6" t="n">
        <v>184</v>
      </c>
      <c r="I4" s="7" t="n">
        <v>6500000</v>
      </c>
      <c r="J4" s="6" t="inlineStr">
        <is>
          <t>EUR</t>
        </is>
      </c>
      <c r="K4" s="8">
        <f>IF(J4="EUR",I4,I4/VLOOKUP(J4,'FX Rates'!A:B,2,FALSE()))</f>
        <v/>
      </c>
      <c r="L4" s="9" t="n">
        <v>0.0444</v>
      </c>
      <c r="M4" s="10" t="n">
        <v>47122</v>
      </c>
      <c r="N4" s="6" t="inlineStr">
        <is>
          <t>R&amp;D Investment</t>
        </is>
      </c>
      <c r="O4" s="11" t="n">
        <v>0.1</v>
      </c>
      <c r="P4" s="7" t="n">
        <v>3394997</v>
      </c>
      <c r="Q4" s="10" t="n">
        <v>45298</v>
      </c>
      <c r="R4" s="6" t="inlineStr">
        <is>
          <t>IT914763202</t>
        </is>
      </c>
      <c r="S4" s="6" t="inlineStr">
        <is>
          <t>Active</t>
        </is>
      </c>
    </row>
    <row r="5">
      <c r="A5" s="12" t="inlineStr">
        <is>
          <t>LN-0004</t>
        </is>
      </c>
      <c r="B5" s="12" t="inlineStr">
        <is>
          <t>Borrower_004</t>
        </is>
      </c>
      <c r="C5" s="12" t="inlineStr">
        <is>
          <t>Spain</t>
        </is>
      </c>
      <c r="D5" s="12" t="inlineStr">
        <is>
          <t>Agriculture</t>
        </is>
      </c>
      <c r="E5" s="12" t="inlineStr">
        <is>
          <t>A01</t>
        </is>
      </c>
      <c r="F5" s="12" t="inlineStr">
        <is>
          <t>Medium</t>
        </is>
      </c>
      <c r="G5" s="13" t="n">
        <v>2728638</v>
      </c>
      <c r="H5" s="12" t="n">
        <v>179</v>
      </c>
      <c r="I5" s="13" t="n">
        <v>3570146</v>
      </c>
      <c r="J5" s="12" t="inlineStr">
        <is>
          <t>EUR</t>
        </is>
      </c>
      <c r="K5" s="14">
        <f>IF(J5="EUR",I5,I5/VLOOKUP(J5,'FX Rates'!A:B,2,FALSE()))</f>
        <v/>
      </c>
      <c r="L5" s="15" t="n">
        <v>0.0388</v>
      </c>
      <c r="M5" s="16" t="n">
        <v>46521</v>
      </c>
      <c r="N5" s="12" t="inlineStr">
        <is>
          <t>Equipment Purchase</t>
        </is>
      </c>
      <c r="O5" s="17" t="n">
        <v>0.1</v>
      </c>
      <c r="P5" s="13" t="n">
        <v>428700</v>
      </c>
      <c r="Q5" s="16" t="n">
        <v>45386</v>
      </c>
      <c r="R5" s="12" t="inlineStr">
        <is>
          <t>SP507943839</t>
        </is>
      </c>
      <c r="S5" s="12" t="inlineStr">
        <is>
          <t>Active</t>
        </is>
      </c>
    </row>
    <row r="6">
      <c r="A6" s="6" t="inlineStr">
        <is>
          <t>LN-0005</t>
        </is>
      </c>
      <c r="B6" s="6" t="inlineStr">
        <is>
          <t>Borrower_005</t>
        </is>
      </c>
      <c r="C6" s="6" t="inlineStr">
        <is>
          <t>Poland</t>
        </is>
      </c>
      <c r="D6" s="6" t="inlineStr">
        <is>
          <t>Healthcare</t>
        </is>
      </c>
      <c r="E6" s="6" t="inlineStr">
        <is>
          <t>Q86</t>
        </is>
      </c>
      <c r="F6" s="6" t="inlineStr">
        <is>
          <t>Small</t>
        </is>
      </c>
      <c r="G6" s="7" t="n">
        <v>6072674</v>
      </c>
      <c r="H6" s="6" t="n">
        <v>89</v>
      </c>
      <c r="I6" s="7" t="n">
        <v>2243961</v>
      </c>
      <c r="J6" s="6" t="inlineStr">
        <is>
          <t>PLN</t>
        </is>
      </c>
      <c r="K6" s="8">
        <f>IF(J6="EUR",I6,I6/VLOOKUP(J6,'FX Rates'!A:B,2,FALSE()))</f>
        <v/>
      </c>
      <c r="L6" s="9" t="n">
        <v>0.07149999999999999</v>
      </c>
      <c r="M6" s="10" t="n">
        <v>47697</v>
      </c>
      <c r="N6" s="6" t="inlineStr">
        <is>
          <t>Refinancing</t>
        </is>
      </c>
      <c r="O6" s="11" t="n">
        <v>0.3</v>
      </c>
      <c r="P6" s="7" t="n">
        <v>261779</v>
      </c>
      <c r="Q6" s="10" t="n">
        <v>45679</v>
      </c>
      <c r="R6" s="6" t="n"/>
      <c r="S6" s="6" t="inlineStr">
        <is>
          <t>Pending</t>
        </is>
      </c>
    </row>
    <row r="7">
      <c r="A7" s="12" t="inlineStr">
        <is>
          <t>LN-0006</t>
        </is>
      </c>
      <c r="B7" s="12" t="inlineStr">
        <is>
          <t>Borrower_006</t>
        </is>
      </c>
      <c r="C7" s="12" t="inlineStr">
        <is>
          <t>Netherlands</t>
        </is>
      </c>
      <c r="D7" s="12" t="inlineStr">
        <is>
          <t>Construction</t>
        </is>
      </c>
      <c r="E7" s="12" t="inlineStr">
        <is>
          <t>F41</t>
        </is>
      </c>
      <c r="F7" s="12" t="inlineStr">
        <is>
          <t>Small</t>
        </is>
      </c>
      <c r="G7" s="13" t="n">
        <v>4968715</v>
      </c>
      <c r="H7" s="12" t="n">
        <v>161</v>
      </c>
      <c r="I7" s="13" t="n">
        <v>5000</v>
      </c>
      <c r="J7" s="12" t="inlineStr">
        <is>
          <t>EUR</t>
        </is>
      </c>
      <c r="K7" s="14">
        <f>IF(J7="EUR",I7,I7/VLOOKUP(J7,'FX Rates'!A:B,2,FALSE()))</f>
        <v/>
      </c>
      <c r="L7" s="15" t="n">
        <v>0.0554</v>
      </c>
      <c r="M7" s="16" t="n">
        <v>47645</v>
      </c>
      <c r="N7" s="12" t="inlineStr">
        <is>
          <t>Working Capital</t>
        </is>
      </c>
      <c r="O7" s="17" t="n">
        <v>0</v>
      </c>
      <c r="P7" s="13" t="n">
        <v>955874</v>
      </c>
      <c r="Q7" s="16" t="n">
        <v>45588</v>
      </c>
      <c r="R7" s="12" t="inlineStr">
        <is>
          <t>NE185675980</t>
        </is>
      </c>
      <c r="S7" s="12" t="inlineStr">
        <is>
          <t>Active</t>
        </is>
      </c>
    </row>
    <row r="8">
      <c r="A8" s="6" t="inlineStr">
        <is>
          <t>LN-0007</t>
        </is>
      </c>
      <c r="B8" s="6" t="inlineStr">
        <is>
          <t>Borrower_007</t>
        </is>
      </c>
      <c r="C8" s="6" t="inlineStr">
        <is>
          <t>Czech Republic</t>
        </is>
      </c>
      <c r="D8" s="6" t="inlineStr">
        <is>
          <t>Transport</t>
        </is>
      </c>
      <c r="E8" s="6" t="inlineStr">
        <is>
          <t>H49</t>
        </is>
      </c>
      <c r="F8" s="6" t="inlineStr">
        <is>
          <t>Micro</t>
        </is>
      </c>
      <c r="G8" s="7" t="n">
        <v>3955582</v>
      </c>
      <c r="H8" s="6" t="n">
        <v>26</v>
      </c>
      <c r="I8" s="7" t="n">
        <v>3213729</v>
      </c>
      <c r="J8" s="6" t="inlineStr">
        <is>
          <t>CZK</t>
        </is>
      </c>
      <c r="K8" s="8">
        <f>IF(J8="EUR",I8,I8/VLOOKUP(J8,'FX Rates'!A:B,2,FALSE()))</f>
        <v/>
      </c>
      <c r="L8" s="9" t="n">
        <v>0.0345</v>
      </c>
      <c r="M8" s="10" t="n">
        <v>45680</v>
      </c>
      <c r="N8" s="6" t="inlineStr">
        <is>
          <t>Inventory</t>
        </is>
      </c>
      <c r="O8" s="11" t="n">
        <v>0.1</v>
      </c>
      <c r="P8" s="7" t="n">
        <v>682220</v>
      </c>
      <c r="Q8" s="10" t="n">
        <v>45671</v>
      </c>
      <c r="R8" s="6" t="inlineStr">
        <is>
          <t>CZ481469012</t>
        </is>
      </c>
      <c r="S8" s="6" t="inlineStr">
        <is>
          <t>Active</t>
        </is>
      </c>
    </row>
    <row r="9">
      <c r="A9" s="12" t="inlineStr">
        <is>
          <t>LN-0007</t>
        </is>
      </c>
      <c r="B9" s="12" t="inlineStr">
        <is>
          <t>Borrower_008</t>
        </is>
      </c>
      <c r="C9" s="12" t="inlineStr">
        <is>
          <t>Romania</t>
        </is>
      </c>
      <c r="D9" s="12" t="inlineStr">
        <is>
          <t>Energy</t>
        </is>
      </c>
      <c r="E9" s="12" t="inlineStr">
        <is>
          <t>D35</t>
        </is>
      </c>
      <c r="F9" s="12" t="inlineStr">
        <is>
          <t>Medium</t>
        </is>
      </c>
      <c r="G9" s="13" t="n">
        <v>11293673</v>
      </c>
      <c r="H9" s="12" t="n">
        <v>69</v>
      </c>
      <c r="I9" s="13" t="n">
        <v>623967</v>
      </c>
      <c r="J9" s="12" t="inlineStr">
        <is>
          <t>RON</t>
        </is>
      </c>
      <c r="K9" s="14">
        <f>IF(J9="EUR",I9,I9/VLOOKUP(J9,'FX Rates'!A:B,2,FALSE()))</f>
        <v/>
      </c>
      <c r="L9" s="15" t="n">
        <v>0.0576</v>
      </c>
      <c r="M9" s="16" t="n">
        <v>46553</v>
      </c>
      <c r="N9" s="12" t="inlineStr">
        <is>
          <t>R&amp;D Investment</t>
        </is>
      </c>
      <c r="O9" s="17" t="n">
        <v>0.5</v>
      </c>
      <c r="P9" s="13" t="n">
        <v>128351</v>
      </c>
      <c r="Q9" s="16" t="n">
        <v>45459</v>
      </c>
      <c r="R9" s="12" t="inlineStr">
        <is>
          <t>RO596348124</t>
        </is>
      </c>
      <c r="S9" s="12" t="inlineStr">
        <is>
          <t>Active</t>
        </is>
      </c>
    </row>
    <row r="10">
      <c r="A10" s="6" t="inlineStr">
        <is>
          <t>LN-0009</t>
        </is>
      </c>
      <c r="B10" s="6" t="inlineStr">
        <is>
          <t>Borrower_009</t>
        </is>
      </c>
      <c r="C10" s="6" t="inlineStr">
        <is>
          <t>Hungary</t>
        </is>
      </c>
      <c r="D10" s="6" t="inlineStr">
        <is>
          <t>Services</t>
        </is>
      </c>
      <c r="E10" s="6" t="inlineStr">
        <is>
          <t>M69</t>
        </is>
      </c>
      <c r="F10" s="6" t="inlineStr">
        <is>
          <t>Small</t>
        </is>
      </c>
      <c r="G10" s="7" t="n">
        <v>4578972</v>
      </c>
      <c r="H10" s="6" t="n">
        <v>164</v>
      </c>
      <c r="I10" s="7" t="n">
        <v>4697033</v>
      </c>
      <c r="J10" s="6" t="n"/>
      <c r="K10" s="8">
        <f>IF(J10="EUR",I10,I10/VLOOKUP(J10,'FX Rates'!A:B,2,FALSE()))</f>
        <v/>
      </c>
      <c r="L10" s="9" t="n">
        <v>0.0304</v>
      </c>
      <c r="M10" s="10" t="n">
        <v>46867</v>
      </c>
      <c r="N10" s="6" t="inlineStr">
        <is>
          <t>Inventory</t>
        </is>
      </c>
      <c r="O10" s="11" t="n">
        <v>0</v>
      </c>
      <c r="P10" s="7" t="n">
        <v>960697</v>
      </c>
      <c r="Q10" s="10" t="n">
        <v>45324</v>
      </c>
      <c r="R10" s="6" t="inlineStr">
        <is>
          <t>HU964411347</t>
        </is>
      </c>
      <c r="S10" s="6" t="inlineStr">
        <is>
          <t>Active</t>
        </is>
      </c>
    </row>
    <row r="11">
      <c r="A11" s="12" t="inlineStr">
        <is>
          <t>LN-0010</t>
        </is>
      </c>
      <c r="B11" s="12" t="inlineStr">
        <is>
          <t>Borrower_010</t>
        </is>
      </c>
      <c r="C11" s="12" t="inlineStr">
        <is>
          <t>Portugal</t>
        </is>
      </c>
      <c r="D11" s="12" t="inlineStr">
        <is>
          <t>Food &amp; Beverage</t>
        </is>
      </c>
      <c r="E11" s="12" t="inlineStr">
        <is>
          <t>C11</t>
        </is>
      </c>
      <c r="F11" s="12" t="inlineStr">
        <is>
          <t>Medium</t>
        </is>
      </c>
      <c r="G11" s="13" t="n">
        <v>75000000</v>
      </c>
      <c r="H11" s="12" t="n">
        <v>69</v>
      </c>
      <c r="I11" s="13" t="n">
        <v>580230</v>
      </c>
      <c r="J11" s="12" t="inlineStr">
        <is>
          <t>EUR</t>
        </is>
      </c>
      <c r="K11" s="14">
        <f>IF(J11="EUR",I11,I11/VLOOKUP(J11,'FX Rates'!A:B,2,FALSE()))</f>
        <v/>
      </c>
      <c r="L11" s="15" t="n">
        <v>0.0298</v>
      </c>
      <c r="M11" s="16" t="n">
        <v>47364</v>
      </c>
      <c r="N11" s="12" t="inlineStr">
        <is>
          <t>Real Estate</t>
        </is>
      </c>
      <c r="O11" s="17" t="n">
        <v>0.1</v>
      </c>
      <c r="P11" s="13" t="n">
        <v>111477</v>
      </c>
      <c r="Q11" s="16" t="n">
        <v>45963</v>
      </c>
      <c r="R11" s="12" t="inlineStr">
        <is>
          <t>PO636045484</t>
        </is>
      </c>
      <c r="S11" s="12" t="inlineStr">
        <is>
          <t>Active</t>
        </is>
      </c>
    </row>
    <row r="12">
      <c r="A12" s="6" t="inlineStr">
        <is>
          <t>LN-0011</t>
        </is>
      </c>
      <c r="B12" s="6" t="inlineStr">
        <is>
          <t>Borrower_011</t>
        </is>
      </c>
      <c r="C12" s="6" t="inlineStr">
        <is>
          <t>Germany</t>
        </is>
      </c>
      <c r="D12" s="6" t="inlineStr">
        <is>
          <t>Manufacturing</t>
        </is>
      </c>
      <c r="E12" s="6" t="inlineStr">
        <is>
          <t>C10</t>
        </is>
      </c>
      <c r="F12" s="6" t="inlineStr">
        <is>
          <t>Micro</t>
        </is>
      </c>
      <c r="G12" s="7" t="n">
        <v>14892520</v>
      </c>
      <c r="H12" s="6" t="n">
        <v>165</v>
      </c>
      <c r="I12" s="7" t="n">
        <v>3874128</v>
      </c>
      <c r="J12" s="6" t="inlineStr">
        <is>
          <t>EUR</t>
        </is>
      </c>
      <c r="K12" s="8">
        <f>IF(J12="EUR",I12,I12/VLOOKUP(J12,'FX Rates'!A:B,2,FALSE()))</f>
        <v/>
      </c>
      <c r="L12" s="9" t="n">
        <v>0.025</v>
      </c>
      <c r="M12" s="10" t="n">
        <v>46488</v>
      </c>
      <c r="N12" s="6" t="inlineStr">
        <is>
          <t>Equipment Purchase</t>
        </is>
      </c>
      <c r="O12" s="11" t="n">
        <v>0.5</v>
      </c>
      <c r="P12" s="7" t="n">
        <v>2354548</v>
      </c>
      <c r="Q12" s="10" t="n">
        <v>45843</v>
      </c>
      <c r="R12" s="6" t="inlineStr">
        <is>
          <t>GE382116655</t>
        </is>
      </c>
      <c r="S12" s="6" t="inlineStr">
        <is>
          <t>Defaulted</t>
        </is>
      </c>
    </row>
    <row r="13">
      <c r="A13" s="12" t="inlineStr">
        <is>
          <t>LN-0012</t>
        </is>
      </c>
      <c r="B13" s="12" t="inlineStr">
        <is>
          <t>Borrower_012</t>
        </is>
      </c>
      <c r="C13" s="12" t="inlineStr">
        <is>
          <t>France</t>
        </is>
      </c>
      <c r="D13" s="12" t="inlineStr">
        <is>
          <t>Retail</t>
        </is>
      </c>
      <c r="E13" s="12" t="inlineStr">
        <is>
          <t>G47</t>
        </is>
      </c>
      <c r="F13" s="12" t="inlineStr">
        <is>
          <t>Small</t>
        </is>
      </c>
      <c r="G13" s="13" t="n">
        <v>9857725</v>
      </c>
      <c r="H13" s="12" t="n">
        <v>110</v>
      </c>
      <c r="I13" s="13" t="n">
        <v>-150000</v>
      </c>
      <c r="J13" s="12" t="inlineStr">
        <is>
          <t>EUR</t>
        </is>
      </c>
      <c r="K13" s="14">
        <f>IF(J13="EUR",I13,I13/VLOOKUP(J13,'FX Rates'!A:B,2,FALSE()))</f>
        <v/>
      </c>
      <c r="L13" s="15" t="n">
        <v>0.043</v>
      </c>
      <c r="M13" s="16" t="n">
        <v>46652</v>
      </c>
      <c r="N13" s="12" t="inlineStr">
        <is>
          <t>Equipment Purchase</t>
        </is>
      </c>
      <c r="O13" s="17" t="n">
        <v>0.3</v>
      </c>
      <c r="P13" s="13" t="n">
        <v>2069955</v>
      </c>
      <c r="Q13" s="16" t="n">
        <v>45385</v>
      </c>
      <c r="R13" s="12" t="inlineStr">
        <is>
          <t>FR911514914</t>
        </is>
      </c>
      <c r="S13" s="12" t="inlineStr">
        <is>
          <t>Active</t>
        </is>
      </c>
    </row>
    <row r="14">
      <c r="A14" s="6" t="inlineStr">
        <is>
          <t>LN-0013</t>
        </is>
      </c>
      <c r="B14" s="6" t="inlineStr">
        <is>
          <t>Borrower_013</t>
        </is>
      </c>
      <c r="C14" s="6" t="inlineStr">
        <is>
          <t>Italy</t>
        </is>
      </c>
      <c r="D14" s="6" t="inlineStr">
        <is>
          <t>Technology</t>
        </is>
      </c>
      <c r="E14" s="6" t="inlineStr">
        <is>
          <t>J62</t>
        </is>
      </c>
      <c r="F14" s="6" t="inlineStr">
        <is>
          <t>Medium</t>
        </is>
      </c>
      <c r="G14" s="7" t="n">
        <v>14496909</v>
      </c>
      <c r="H14" s="6" t="n">
        <v>320</v>
      </c>
      <c r="I14" s="7" t="n">
        <v>1307125</v>
      </c>
      <c r="J14" s="6" t="inlineStr">
        <is>
          <t>EUR</t>
        </is>
      </c>
      <c r="K14" s="8">
        <f>IF(J14="EUR",I14,I14/VLOOKUP(J14,'FX Rates'!A:B,2,FALSE()))</f>
        <v/>
      </c>
      <c r="L14" s="9" t="n">
        <v>0.0589</v>
      </c>
      <c r="M14" s="10" t="n">
        <v>47596</v>
      </c>
      <c r="N14" s="6" t="inlineStr">
        <is>
          <t>Refinancing</t>
        </is>
      </c>
      <c r="O14" s="11" t="n">
        <v>0.3</v>
      </c>
      <c r="P14" s="7" t="n">
        <v>66613</v>
      </c>
      <c r="Q14" s="10" t="n">
        <v>45686</v>
      </c>
      <c r="R14" s="6" t="inlineStr">
        <is>
          <t>IT509760584</t>
        </is>
      </c>
      <c r="S14" s="6" t="inlineStr">
        <is>
          <t>Pending</t>
        </is>
      </c>
    </row>
    <row r="15">
      <c r="A15" s="12" t="inlineStr">
        <is>
          <t>LN-0014</t>
        </is>
      </c>
      <c r="B15" s="12" t="n"/>
      <c r="C15" s="12" t="inlineStr">
        <is>
          <t>Spain</t>
        </is>
      </c>
      <c r="D15" s="12" t="inlineStr">
        <is>
          <t>Agriculture</t>
        </is>
      </c>
      <c r="E15" s="12" t="inlineStr">
        <is>
          <t>A01</t>
        </is>
      </c>
      <c r="F15" s="12" t="inlineStr">
        <is>
          <t>Medium</t>
        </is>
      </c>
      <c r="G15" s="13" t="n">
        <v>7902574</v>
      </c>
      <c r="H15" s="12" t="n">
        <v>136</v>
      </c>
      <c r="I15" s="13" t="n">
        <v>2134014</v>
      </c>
      <c r="J15" s="12" t="inlineStr">
        <is>
          <t>EUR</t>
        </is>
      </c>
      <c r="K15" s="14">
        <f>IF(J15="EUR",I15,I15/VLOOKUP(J15,'FX Rates'!A:B,2,FALSE()))</f>
        <v/>
      </c>
      <c r="L15" s="15" t="n">
        <v>0.083</v>
      </c>
      <c r="M15" s="16" t="n">
        <v>46226</v>
      </c>
      <c r="N15" s="12" t="inlineStr">
        <is>
          <t>Real Estate</t>
        </is>
      </c>
      <c r="O15" s="17" t="n">
        <v>0.5</v>
      </c>
      <c r="P15" s="13" t="n">
        <v>240232</v>
      </c>
      <c r="Q15" s="16" t="n">
        <v>45990</v>
      </c>
      <c r="R15" s="12" t="inlineStr">
        <is>
          <t>SP676567501</t>
        </is>
      </c>
      <c r="S15" s="12" t="inlineStr">
        <is>
          <t>Active</t>
        </is>
      </c>
    </row>
    <row r="16">
      <c r="A16" s="6" t="n"/>
      <c r="B16" s="6" t="inlineStr">
        <is>
          <t>Borrower_015</t>
        </is>
      </c>
      <c r="C16" s="6" t="inlineStr">
        <is>
          <t>Poland</t>
        </is>
      </c>
      <c r="D16" s="6" t="inlineStr">
        <is>
          <t>Healthcare</t>
        </is>
      </c>
      <c r="E16" s="6" t="inlineStr">
        <is>
          <t>Q86</t>
        </is>
      </c>
      <c r="F16" s="6" t="inlineStr">
        <is>
          <t>Small</t>
        </is>
      </c>
      <c r="G16" s="7" t="n">
        <v>4526583</v>
      </c>
      <c r="H16" s="6" t="n">
        <v>197</v>
      </c>
      <c r="I16" s="7" t="n">
        <v>2878598</v>
      </c>
      <c r="J16" s="6" t="inlineStr">
        <is>
          <t>PLN</t>
        </is>
      </c>
      <c r="K16" s="8">
        <f>IF(J16="EUR",I16,I16/VLOOKUP(J16,'FX Rates'!A:B,2,FALSE()))</f>
        <v/>
      </c>
      <c r="L16" s="9" t="n">
        <v>0.0228</v>
      </c>
      <c r="M16" s="10" t="n">
        <v>47093</v>
      </c>
      <c r="N16" s="6" t="inlineStr">
        <is>
          <t>Equipment Purchase</t>
        </is>
      </c>
      <c r="O16" s="11" t="n">
        <v>0.2</v>
      </c>
      <c r="P16" s="7" t="n">
        <v>13611</v>
      </c>
      <c r="Q16" s="10" t="n">
        <v>45561</v>
      </c>
      <c r="R16" s="6" t="inlineStr">
        <is>
          <t>PO637500247</t>
        </is>
      </c>
      <c r="S16" s="6" t="inlineStr">
        <is>
          <t>Active</t>
        </is>
      </c>
    </row>
    <row r="17">
      <c r="A17" s="12" t="inlineStr">
        <is>
          <t>LN-0016</t>
        </is>
      </c>
      <c r="B17" s="12" t="inlineStr">
        <is>
          <t>Borrower_016</t>
        </is>
      </c>
      <c r="C17" s="12" t="inlineStr">
        <is>
          <t>Netherlands</t>
        </is>
      </c>
      <c r="D17" s="12" t="inlineStr">
        <is>
          <t>Construction</t>
        </is>
      </c>
      <c r="E17" s="12" t="inlineStr">
        <is>
          <t>F41</t>
        </is>
      </c>
      <c r="F17" s="12" t="inlineStr">
        <is>
          <t>Small</t>
        </is>
      </c>
      <c r="G17" s="13" t="n">
        <v>3047281</v>
      </c>
      <c r="H17" s="12" t="n">
        <v>130</v>
      </c>
      <c r="I17" s="13" t="n">
        <v>917638</v>
      </c>
      <c r="J17" s="12" t="inlineStr">
        <is>
          <t>EUR</t>
        </is>
      </c>
      <c r="K17" s="14">
        <f>IF(J17="EUR",I17,I17/VLOOKUP(J17,'FX Rates'!A:B,2,FALSE()))</f>
        <v/>
      </c>
      <c r="L17" s="15" t="n">
        <v>0.125</v>
      </c>
      <c r="M17" s="16" t="n">
        <v>46814</v>
      </c>
      <c r="N17" s="12" t="inlineStr">
        <is>
          <t>Inventory</t>
        </is>
      </c>
      <c r="O17" s="17" t="n">
        <v>0.5</v>
      </c>
      <c r="P17" s="13" t="n">
        <v>532323</v>
      </c>
      <c r="Q17" s="16" t="n">
        <v>45915</v>
      </c>
      <c r="R17" s="12" t="inlineStr">
        <is>
          <t>NE313579170</t>
        </is>
      </c>
      <c r="S17" s="12" t="inlineStr">
        <is>
          <t>Active</t>
        </is>
      </c>
    </row>
    <row r="18">
      <c r="A18" s="6" t="inlineStr">
        <is>
          <t>LN-0017</t>
        </is>
      </c>
      <c r="B18" s="6" t="inlineStr">
        <is>
          <t>Borrower_017</t>
        </is>
      </c>
      <c r="C18" s="6" t="inlineStr">
        <is>
          <t>Czech Republic</t>
        </is>
      </c>
      <c r="D18" s="6" t="inlineStr">
        <is>
          <t>Transport</t>
        </is>
      </c>
      <c r="E18" s="6" t="inlineStr">
        <is>
          <t>H49</t>
        </is>
      </c>
      <c r="F18" s="6" t="inlineStr">
        <is>
          <t>Micro</t>
        </is>
      </c>
      <c r="G18" s="7" t="n">
        <v>6323233</v>
      </c>
      <c r="H18" s="6" t="n">
        <v>196</v>
      </c>
      <c r="I18" s="7" t="n">
        <v>1380171</v>
      </c>
      <c r="J18" s="6" t="inlineStr">
        <is>
          <t>CZK</t>
        </is>
      </c>
      <c r="K18" s="8">
        <f>IF(J18="EUR",I18,I18/VLOOKUP(J18,'FX Rates'!A:B,2,FALSE()))</f>
        <v/>
      </c>
      <c r="L18" s="9" t="n">
        <v>0.0528</v>
      </c>
      <c r="M18" s="10" t="n">
        <v>47797</v>
      </c>
      <c r="N18" s="6" t="inlineStr">
        <is>
          <t>R&amp;D Investment</t>
        </is>
      </c>
      <c r="O18" s="11" t="n">
        <v>0</v>
      </c>
      <c r="P18" s="7" t="n">
        <v>679804</v>
      </c>
      <c r="Q18" s="10" t="n">
        <v>45792</v>
      </c>
      <c r="R18" s="6" t="inlineStr">
        <is>
          <t>CZ120912992</t>
        </is>
      </c>
      <c r="S18" s="6" t="inlineStr">
        <is>
          <t>Active</t>
        </is>
      </c>
    </row>
    <row r="19">
      <c r="A19" s="12" t="inlineStr">
        <is>
          <t>LN-0018</t>
        </is>
      </c>
      <c r="B19" s="12" t="inlineStr">
        <is>
          <t>Borrower_018</t>
        </is>
      </c>
      <c r="C19" s="12" t="inlineStr">
        <is>
          <t>Romania</t>
        </is>
      </c>
      <c r="D19" s="12" t="inlineStr">
        <is>
          <t>Energy</t>
        </is>
      </c>
      <c r="E19" s="12" t="inlineStr">
        <is>
          <t>D35</t>
        </is>
      </c>
      <c r="F19" s="12" t="inlineStr">
        <is>
          <t>Medium</t>
        </is>
      </c>
      <c r="G19" s="13" t="n"/>
      <c r="H19" s="12" t="n">
        <v>79</v>
      </c>
      <c r="I19" s="13" t="n">
        <v>2033671</v>
      </c>
      <c r="J19" s="12" t="inlineStr">
        <is>
          <t>RON</t>
        </is>
      </c>
      <c r="K19" s="14">
        <f>IF(J19="EUR",I19,I19/VLOOKUP(J19,'FX Rates'!A:B,2,FALSE()))</f>
        <v/>
      </c>
      <c r="L19" s="15" t="n">
        <v>0.0191</v>
      </c>
      <c r="M19" s="16" t="n">
        <v>47364</v>
      </c>
      <c r="N19" s="12" t="inlineStr">
        <is>
          <t>Working Capital</t>
        </is>
      </c>
      <c r="O19" s="17" t="n">
        <v>0</v>
      </c>
      <c r="P19" s="13" t="n">
        <v>1534921</v>
      </c>
      <c r="Q19" s="16" t="n">
        <v>45789</v>
      </c>
      <c r="R19" s="12" t="inlineStr">
        <is>
          <t>RO976198296</t>
        </is>
      </c>
      <c r="S19" s="12" t="inlineStr">
        <is>
          <t>Active</t>
        </is>
      </c>
    </row>
    <row r="20">
      <c r="A20" s="6" t="inlineStr">
        <is>
          <t>LN-0019</t>
        </is>
      </c>
      <c r="B20" s="6" t="inlineStr">
        <is>
          <t>Borrower_019</t>
        </is>
      </c>
      <c r="C20" s="6" t="inlineStr">
        <is>
          <t>Hungary</t>
        </is>
      </c>
      <c r="D20" s="6" t="inlineStr">
        <is>
          <t>Services</t>
        </is>
      </c>
      <c r="E20" s="6" t="inlineStr">
        <is>
          <t>M69</t>
        </is>
      </c>
      <c r="F20" s="6" t="inlineStr">
        <is>
          <t>Small</t>
        </is>
      </c>
      <c r="G20" s="7" t="n">
        <v>12810786</v>
      </c>
      <c r="H20" s="6" t="n">
        <v>137</v>
      </c>
      <c r="I20" s="7" t="n">
        <v>1079955</v>
      </c>
      <c r="J20" s="6" t="inlineStr">
        <is>
          <t>HUF</t>
        </is>
      </c>
      <c r="K20" s="8">
        <f>IF(J20="EUR",I20,I20/VLOOKUP(J20,'FX Rates'!A:B,2,FALSE()))</f>
        <v/>
      </c>
      <c r="L20" s="9" t="n">
        <v>0.024</v>
      </c>
      <c r="M20" s="10" t="n">
        <v>47176</v>
      </c>
      <c r="N20" s="6" t="inlineStr">
        <is>
          <t>R&amp;D Investment</t>
        </is>
      </c>
      <c r="O20" s="11" t="n">
        <v>0.9</v>
      </c>
      <c r="P20" s="7" t="n">
        <v>277932</v>
      </c>
      <c r="Q20" s="10" t="n">
        <v>45832</v>
      </c>
      <c r="R20" s="6" t="inlineStr">
        <is>
          <t>HU751325257</t>
        </is>
      </c>
      <c r="S20" s="6" t="inlineStr">
        <is>
          <t>Active</t>
        </is>
      </c>
    </row>
    <row r="21">
      <c r="A21" s="12" t="inlineStr">
        <is>
          <t>LN-0020</t>
        </is>
      </c>
      <c r="B21" s="12" t="inlineStr">
        <is>
          <t>Borrower_020</t>
        </is>
      </c>
      <c r="C21" s="12" t="inlineStr">
        <is>
          <t>Portugal</t>
        </is>
      </c>
      <c r="D21" s="12" t="inlineStr">
        <is>
          <t>Food &amp; Beverage</t>
        </is>
      </c>
      <c r="E21" s="12" t="inlineStr">
        <is>
          <t>C11</t>
        </is>
      </c>
      <c r="F21" s="12" t="inlineStr">
        <is>
          <t>Medium</t>
        </is>
      </c>
      <c r="G21" s="13" t="n">
        <v>3603384</v>
      </c>
      <c r="H21" s="12" t="n">
        <v>139</v>
      </c>
      <c r="I21" s="13" t="inlineStr">
        <is>
          <t>TBD</t>
        </is>
      </c>
      <c r="J21" s="12" t="inlineStr">
        <is>
          <t>EUR</t>
        </is>
      </c>
      <c r="K21" s="14">
        <f>IF(J21="EUR",I21,I21/VLOOKUP(J21,'FX Rates'!A:B,2,FALSE()))</f>
        <v/>
      </c>
      <c r="L21" s="15" t="n">
        <v>0.0649</v>
      </c>
      <c r="M21" s="16" t="n">
        <v>47020</v>
      </c>
      <c r="N21" s="12" t="inlineStr">
        <is>
          <t>Real Estate</t>
        </is>
      </c>
      <c r="O21" s="17" t="n">
        <v>0.5</v>
      </c>
      <c r="P21" s="13" t="n">
        <v>783119</v>
      </c>
      <c r="Q21" s="16" t="n">
        <v>45740</v>
      </c>
      <c r="R21" s="12" t="inlineStr">
        <is>
          <t>PO655742829</t>
        </is>
      </c>
      <c r="S21" s="12" t="inlineStr">
        <is>
          <t>Active</t>
        </is>
      </c>
    </row>
    <row r="22">
      <c r="A22" s="6" t="inlineStr">
        <is>
          <t>LN-0021</t>
        </is>
      </c>
      <c r="B22" s="6" t="inlineStr">
        <is>
          <t>Borrower_021</t>
        </is>
      </c>
      <c r="C22" s="6" t="inlineStr">
        <is>
          <t>Germany</t>
        </is>
      </c>
      <c r="D22" s="6" t="inlineStr">
        <is>
          <t>Manufacturing</t>
        </is>
      </c>
      <c r="E22" s="6" t="inlineStr">
        <is>
          <t>C10</t>
        </is>
      </c>
      <c r="F22" s="6" t="inlineStr">
        <is>
          <t>Micro</t>
        </is>
      </c>
      <c r="G22" s="7" t="n">
        <v>2080113</v>
      </c>
      <c r="H22" s="6" t="n">
        <v>64</v>
      </c>
      <c r="I22" s="7" t="n">
        <v>1909897</v>
      </c>
      <c r="J22" s="6" t="inlineStr">
        <is>
          <t>EUR</t>
        </is>
      </c>
      <c r="K22" s="8">
        <f>IF(J22="EUR",I22,I22/VLOOKUP(J22,'FX Rates'!A:B,2,FALSE()))</f>
        <v/>
      </c>
      <c r="L22" s="9" t="n">
        <v>0.0195</v>
      </c>
      <c r="M22" s="10" t="n">
        <v>46246</v>
      </c>
      <c r="N22" s="6" t="inlineStr">
        <is>
          <t>R&amp;D Investment</t>
        </is>
      </c>
      <c r="O22" s="11" t="n">
        <v>0.3</v>
      </c>
      <c r="P22" s="7" t="n">
        <v>482585</v>
      </c>
      <c r="Q22" s="10" t="n">
        <v>45894</v>
      </c>
      <c r="R22" s="6" t="inlineStr">
        <is>
          <t>GE336456621</t>
        </is>
      </c>
      <c r="S22" s="6" t="inlineStr">
        <is>
          <t>Active</t>
        </is>
      </c>
    </row>
    <row r="23">
      <c r="A23" s="12" t="inlineStr">
        <is>
          <t>LN-0022</t>
        </is>
      </c>
      <c r="B23" s="12" t="inlineStr">
        <is>
          <t>Borrower_022</t>
        </is>
      </c>
      <c r="C23" s="12" t="inlineStr">
        <is>
          <t>France</t>
        </is>
      </c>
      <c r="D23" s="12" t="inlineStr">
        <is>
          <t>Retail</t>
        </is>
      </c>
      <c r="E23" s="12" t="inlineStr">
        <is>
          <t>G47</t>
        </is>
      </c>
      <c r="F23" s="12" t="inlineStr">
        <is>
          <t>Small</t>
        </is>
      </c>
      <c r="G23" s="13" t="n">
        <v>1241066</v>
      </c>
      <c r="H23" s="12" t="inlineStr">
        <is>
          <t>N/A</t>
        </is>
      </c>
      <c r="I23" s="13" t="n">
        <v>518868</v>
      </c>
      <c r="J23" s="12" t="inlineStr">
        <is>
          <t>EUR</t>
        </is>
      </c>
      <c r="K23" s="14">
        <f>IF(J23="EUR",I23,I23/VLOOKUP(J23,'FX Rates'!A:B,2,FALSE()))</f>
        <v/>
      </c>
      <c r="L23" s="15" t="n">
        <v>0.031</v>
      </c>
      <c r="M23" s="16" t="n">
        <v>46267</v>
      </c>
      <c r="N23" s="12" t="inlineStr">
        <is>
          <t>Inventory</t>
        </is>
      </c>
      <c r="O23" s="17" t="n">
        <v>0.1</v>
      </c>
      <c r="P23" s="13" t="n">
        <v>37149</v>
      </c>
      <c r="Q23" s="16" t="n">
        <v>45818</v>
      </c>
      <c r="R23" s="12" t="inlineStr">
        <is>
          <t>FR355555531</t>
        </is>
      </c>
      <c r="S23" s="12" t="inlineStr">
        <is>
          <t>Active</t>
        </is>
      </c>
    </row>
    <row r="24">
      <c r="A24" s="6" t="inlineStr">
        <is>
          <t>LN-0023</t>
        </is>
      </c>
      <c r="B24" s="6" t="inlineStr">
        <is>
          <t>Borrower_023</t>
        </is>
      </c>
      <c r="C24" s="6" t="inlineStr">
        <is>
          <t>Italy</t>
        </is>
      </c>
      <c r="D24" s="6" t="inlineStr">
        <is>
          <t>Technology</t>
        </is>
      </c>
      <c r="E24" s="6" t="inlineStr">
        <is>
          <t>J62</t>
        </is>
      </c>
      <c r="F24" s="6" t="inlineStr">
        <is>
          <t>Medium</t>
        </is>
      </c>
      <c r="G24" s="7" t="n">
        <v>11273584</v>
      </c>
      <c r="H24" s="6" t="n">
        <v>125</v>
      </c>
      <c r="I24" s="7" t="n">
        <v>1822148</v>
      </c>
      <c r="J24" s="6" t="inlineStr">
        <is>
          <t>EUR</t>
        </is>
      </c>
      <c r="K24" s="8">
        <f>IF(J24="EUR",I24,I24/VLOOKUP(J24,'FX Rates'!A:B,2,FALSE()))</f>
        <v/>
      </c>
      <c r="L24" s="9" t="n">
        <v>0.0527</v>
      </c>
      <c r="M24" s="10" t="n">
        <v>47684</v>
      </c>
      <c r="N24" s="6" t="inlineStr">
        <is>
          <t>R&amp;D Investment</t>
        </is>
      </c>
      <c r="O24" s="11" t="n">
        <v>0.3</v>
      </c>
      <c r="P24" s="7" t="n">
        <v>991262</v>
      </c>
      <c r="Q24" s="10" t="n">
        <v>45092</v>
      </c>
      <c r="R24" s="6" t="inlineStr">
        <is>
          <t>IT942478695</t>
        </is>
      </c>
      <c r="S24" s="6" t="inlineStr">
        <is>
          <t>Active</t>
        </is>
      </c>
    </row>
    <row r="25">
      <c r="A25" s="12" t="inlineStr">
        <is>
          <t>LN-0024</t>
        </is>
      </c>
      <c r="B25" s="12" t="inlineStr">
        <is>
          <t>Borrower_024</t>
        </is>
      </c>
      <c r="C25" s="12" t="inlineStr">
        <is>
          <t>Spain</t>
        </is>
      </c>
      <c r="D25" s="12" t="inlineStr">
        <is>
          <t>Agriculture</t>
        </is>
      </c>
      <c r="E25" s="12" t="inlineStr">
        <is>
          <t>A01</t>
        </is>
      </c>
      <c r="F25" s="12" t="inlineStr">
        <is>
          <t>Medium</t>
        </is>
      </c>
      <c r="G25" s="13" t="inlineStr">
        <is>
          <t>confidential</t>
        </is>
      </c>
      <c r="H25" s="12" t="n">
        <v>105</v>
      </c>
      <c r="I25" s="13" t="n">
        <v>1622274</v>
      </c>
      <c r="J25" s="12" t="inlineStr">
        <is>
          <t>EUR</t>
        </is>
      </c>
      <c r="K25" s="14">
        <f>IF(J25="EUR",I25,I25/VLOOKUP(J25,'FX Rates'!A:B,2,FALSE()))</f>
        <v/>
      </c>
      <c r="L25" s="15" t="n">
        <v>0.0216</v>
      </c>
      <c r="M25" s="16" t="n">
        <v>47552</v>
      </c>
      <c r="N25" s="12" t="inlineStr">
        <is>
          <t>Refinancing</t>
        </is>
      </c>
      <c r="O25" s="17" t="n">
        <v>0.1</v>
      </c>
      <c r="P25" s="13" t="n">
        <v>888308</v>
      </c>
      <c r="Q25" s="16" t="n">
        <v>45712</v>
      </c>
      <c r="R25" s="12" t="inlineStr">
        <is>
          <t>SP601463916</t>
        </is>
      </c>
      <c r="S25" s="12" t="inlineStr">
        <is>
          <t>Active</t>
        </is>
      </c>
    </row>
    <row r="26">
      <c r="A26" s="6" t="inlineStr">
        <is>
          <t>LN-0025</t>
        </is>
      </c>
      <c r="B26" s="6" t="inlineStr">
        <is>
          <t>Borrower_025</t>
        </is>
      </c>
      <c r="C26" s="6" t="inlineStr">
        <is>
          <t>Poland</t>
        </is>
      </c>
      <c r="D26" s="6" t="inlineStr">
        <is>
          <t>Healthcare</t>
        </is>
      </c>
      <c r="E26" s="6" t="inlineStr">
        <is>
          <t>Q86</t>
        </is>
      </c>
      <c r="F26" s="6" t="inlineStr">
        <is>
          <t>Small</t>
        </is>
      </c>
      <c r="G26" s="7" t="n">
        <v>12281863</v>
      </c>
      <c r="H26" s="6" t="n">
        <v>14</v>
      </c>
      <c r="I26" s="7" t="n">
        <v>850588</v>
      </c>
      <c r="J26" s="6" t="inlineStr">
        <is>
          <t>PLN</t>
        </is>
      </c>
      <c r="K26" s="8">
        <f>IF(J26="EUR",I26,I26/VLOOKUP(J26,'FX Rates'!A:B,2,FALSE()))</f>
        <v/>
      </c>
      <c r="L26" s="9" t="n">
        <v>0.0192</v>
      </c>
      <c r="M26" s="6" t="inlineStr">
        <is>
          <t>not a date</t>
        </is>
      </c>
      <c r="N26" s="6" t="inlineStr">
        <is>
          <t>Expansion</t>
        </is>
      </c>
      <c r="O26" s="11" t="n">
        <v>0</v>
      </c>
      <c r="P26" s="7" t="n">
        <v>260735</v>
      </c>
      <c r="Q26" s="10" t="n">
        <v>45488</v>
      </c>
      <c r="R26" s="6" t="inlineStr">
        <is>
          <t>PO304235259</t>
        </is>
      </c>
      <c r="S26" s="6" t="inlineStr">
        <is>
          <t>Pending</t>
        </is>
      </c>
    </row>
    <row r="27">
      <c r="A27" s="12" t="inlineStr">
        <is>
          <t>LN-0026</t>
        </is>
      </c>
      <c r="B27" s="12" t="inlineStr">
        <is>
          <t>Borrower_026</t>
        </is>
      </c>
      <c r="C27" s="12" t="inlineStr">
        <is>
          <t>Netherlands</t>
        </is>
      </c>
      <c r="D27" s="12" t="inlineStr">
        <is>
          <t>Construction</t>
        </is>
      </c>
      <c r="E27" s="12" t="inlineStr">
        <is>
          <t>F41</t>
        </is>
      </c>
      <c r="F27" s="12" t="inlineStr">
        <is>
          <t>Small</t>
        </is>
      </c>
      <c r="G27" s="13" t="n">
        <v>7576486</v>
      </c>
      <c r="H27" s="12" t="n">
        <v>36</v>
      </c>
      <c r="I27" s="13" t="n">
        <v>3563999</v>
      </c>
      <c r="J27" s="12" t="inlineStr">
        <is>
          <t>EUR</t>
        </is>
      </c>
      <c r="K27" s="14">
        <f>IF(J27="EUR",I27,I27/VLOOKUP(J27,'FX Rates'!A:B,2,FALSE()))</f>
        <v/>
      </c>
      <c r="L27" s="15" t="n">
        <v>0.0278</v>
      </c>
      <c r="M27" s="16" t="n">
        <v>47150</v>
      </c>
      <c r="N27" s="12" t="inlineStr">
        <is>
          <t>Equipment Purchase</t>
        </is>
      </c>
      <c r="O27" s="17" t="n">
        <v>0</v>
      </c>
      <c r="P27" s="13" t="n">
        <v>1858625</v>
      </c>
      <c r="Q27" s="16" t="n">
        <v>45855</v>
      </c>
      <c r="R27" s="12" t="inlineStr">
        <is>
          <t>NE205128697</t>
        </is>
      </c>
      <c r="S27" s="12" t="inlineStr">
        <is>
          <t>Active</t>
        </is>
      </c>
    </row>
    <row r="28">
      <c r="A28" s="6" t="inlineStr">
        <is>
          <t>LN-0026</t>
        </is>
      </c>
      <c r="B28" s="6" t="inlineStr">
        <is>
          <t>Borrower_027</t>
        </is>
      </c>
      <c r="C28" s="6" t="inlineStr">
        <is>
          <t>Czech Republic</t>
        </is>
      </c>
      <c r="D28" s="6" t="inlineStr">
        <is>
          <t>Transport</t>
        </is>
      </c>
      <c r="E28" s="6" t="inlineStr">
        <is>
          <t>H49</t>
        </is>
      </c>
      <c r="F28" s="6" t="inlineStr">
        <is>
          <t>Micro</t>
        </is>
      </c>
      <c r="G28" s="7" t="n">
        <v>10991175</v>
      </c>
      <c r="H28" s="6" t="n">
        <v>139</v>
      </c>
      <c r="I28" s="7" t="n">
        <v>148797</v>
      </c>
      <c r="J28" s="6" t="inlineStr">
        <is>
          <t>CZK</t>
        </is>
      </c>
      <c r="K28" s="8">
        <f>IF(J28="EUR",I28,I28/VLOOKUP(J28,'FX Rates'!A:B,2,FALSE()))</f>
        <v/>
      </c>
      <c r="L28" s="9" t="n">
        <v>0.0828</v>
      </c>
      <c r="M28" s="10" t="n">
        <v>47746</v>
      </c>
      <c r="N28" s="6" t="inlineStr">
        <is>
          <t>Inventory</t>
        </is>
      </c>
      <c r="O28" s="11" t="n">
        <v>0</v>
      </c>
      <c r="P28" s="7" t="n">
        <v>21798</v>
      </c>
      <c r="Q28" s="10" t="n">
        <v>45708</v>
      </c>
      <c r="R28" s="6" t="inlineStr">
        <is>
          <t>CZ621453189</t>
        </is>
      </c>
      <c r="S28" s="6" t="inlineStr">
        <is>
          <t>Active</t>
        </is>
      </c>
    </row>
    <row r="29">
      <c r="A29" s="12" t="inlineStr">
        <is>
          <t>LN-0028</t>
        </is>
      </c>
      <c r="B29" s="12" t="inlineStr">
        <is>
          <t>Borrower_028</t>
        </is>
      </c>
      <c r="C29" s="12" t="inlineStr">
        <is>
          <t>Romania</t>
        </is>
      </c>
      <c r="D29" s="12" t="inlineStr">
        <is>
          <t>Energy</t>
        </is>
      </c>
      <c r="E29" s="12" t="inlineStr">
        <is>
          <t>D35</t>
        </is>
      </c>
      <c r="F29" s="12" t="inlineStr">
        <is>
          <t>Medium</t>
        </is>
      </c>
      <c r="G29" s="13" t="n">
        <v>3636084</v>
      </c>
      <c r="H29" s="12" t="n">
        <v>103</v>
      </c>
      <c r="I29" s="13" t="n">
        <v>516869</v>
      </c>
      <c r="J29" s="12" t="inlineStr">
        <is>
          <t>RON</t>
        </is>
      </c>
      <c r="K29" s="14">
        <f>IF(J29="EUR",I29,I29/VLOOKUP(J29,'FX Rates'!A:B,2,FALSE()))</f>
        <v/>
      </c>
      <c r="L29" s="15" t="n">
        <v>0.0265</v>
      </c>
      <c r="M29" s="16" t="n">
        <v>46207</v>
      </c>
      <c r="N29" s="12" t="inlineStr">
        <is>
          <t>Refinancing</t>
        </is>
      </c>
      <c r="O29" s="17" t="n">
        <v>0.1</v>
      </c>
      <c r="P29" s="13" t="n">
        <v>411078</v>
      </c>
      <c r="Q29" s="16" t="inlineStr">
        <is>
          <t>pending</t>
        </is>
      </c>
      <c r="R29" s="12" t="inlineStr">
        <is>
          <t>RO406284028</t>
        </is>
      </c>
      <c r="S29" s="12" t="inlineStr">
        <is>
          <t>Active</t>
        </is>
      </c>
    </row>
    <row r="30">
      <c r="A30" s="6" t="inlineStr">
        <is>
          <t>LN-0029</t>
        </is>
      </c>
      <c r="B30" s="6" t="inlineStr">
        <is>
          <t>Borrower_029</t>
        </is>
      </c>
      <c r="C30" s="6" t="inlineStr">
        <is>
          <t>Hungary</t>
        </is>
      </c>
      <c r="D30" s="6" t="inlineStr">
        <is>
          <t>Services</t>
        </is>
      </c>
      <c r="E30" s="6" t="inlineStr">
        <is>
          <t>M69</t>
        </is>
      </c>
      <c r="F30" s="6" t="inlineStr">
        <is>
          <t>Small</t>
        </is>
      </c>
      <c r="G30" s="7" t="n">
        <v>11736866</v>
      </c>
      <c r="H30" s="6" t="n">
        <v>188</v>
      </c>
      <c r="I30" s="7" t="n">
        <v>4687122</v>
      </c>
      <c r="J30" s="6" t="inlineStr">
        <is>
          <t>SGD</t>
        </is>
      </c>
      <c r="K30" s="8">
        <f>IF(J30="EUR",I30,I30/VLOOKUP(J30,'FX Rates'!A:B,2,FALSE()))</f>
        <v/>
      </c>
      <c r="L30" s="9" t="n">
        <v>0.0613</v>
      </c>
      <c r="M30" s="10" t="n">
        <v>47199</v>
      </c>
      <c r="N30" s="6" t="inlineStr">
        <is>
          <t>Equipment Purchase</t>
        </is>
      </c>
      <c r="O30" s="11" t="n">
        <v>0</v>
      </c>
      <c r="P30" s="7" t="n">
        <v>1244482</v>
      </c>
      <c r="Q30" s="10" t="n">
        <v>45514</v>
      </c>
      <c r="R30" s="6" t="inlineStr">
        <is>
          <t>HU162795957</t>
        </is>
      </c>
      <c r="S30" s="6" t="inlineStr">
        <is>
          <t>Pending</t>
        </is>
      </c>
    </row>
    <row r="31">
      <c r="A31" s="12" t="inlineStr">
        <is>
          <t>LN-0030</t>
        </is>
      </c>
      <c r="B31" s="12" t="inlineStr">
        <is>
          <t>Borrower_030</t>
        </is>
      </c>
      <c r="C31" s="12" t="inlineStr">
        <is>
          <t>Portugal</t>
        </is>
      </c>
      <c r="D31" s="12" t="inlineStr">
        <is>
          <t>Food &amp; Beverage</t>
        </is>
      </c>
      <c r="E31" s="12" t="inlineStr">
        <is>
          <t>C11</t>
        </is>
      </c>
      <c r="F31" s="12" t="inlineStr">
        <is>
          <t>Medium</t>
        </is>
      </c>
      <c r="G31" s="13" t="n">
        <v>12393621</v>
      </c>
      <c r="H31" s="12" t="n">
        <v>139</v>
      </c>
      <c r="I31" s="13" t="n">
        <v>536349</v>
      </c>
      <c r="J31" s="12" t="inlineStr">
        <is>
          <t>EUR</t>
        </is>
      </c>
      <c r="K31" s="14">
        <f>IF(J31="EUR",I31,I31/VLOOKUP(J31,'FX Rates'!A:B,2,FALSE()))</f>
        <v/>
      </c>
      <c r="L31" s="15" t="n">
        <v>0.0674</v>
      </c>
      <c r="M31" s="16" t="n">
        <v>46320</v>
      </c>
      <c r="N31" s="12" t="inlineStr">
        <is>
          <t>Working Capital</t>
        </is>
      </c>
      <c r="O31" s="17" t="n">
        <v>0.3</v>
      </c>
      <c r="P31" s="13" t="n">
        <v>249974</v>
      </c>
      <c r="Q31" s="16" t="n">
        <v>45806</v>
      </c>
      <c r="R31" s="12" t="inlineStr">
        <is>
          <t>PO670292350</t>
        </is>
      </c>
      <c r="S31" s="12" t="inlineStr">
        <is>
          <t>Active</t>
        </is>
      </c>
    </row>
    <row r="32">
      <c r="A32" s="30" t="inlineStr">
        <is>
          <t>LN-0031</t>
        </is>
      </c>
      <c r="B32" s="30" t="inlineStr">
        <is>
          <t>MegaCorp Industries</t>
        </is>
      </c>
      <c r="C32" s="30" t="inlineStr">
        <is>
          <t>Germany</t>
        </is>
      </c>
      <c r="D32" s="30" t="inlineStr">
        <is>
          <t>Manufacturing</t>
        </is>
      </c>
      <c r="E32" s="30" t="inlineStr">
        <is>
          <t>C10</t>
        </is>
      </c>
      <c r="F32" s="30" t="inlineStr">
        <is>
          <t>Medium</t>
        </is>
      </c>
      <c r="G32" s="31" t="n">
        <v>35000000</v>
      </c>
      <c r="H32" s="30" t="n">
        <v>180</v>
      </c>
      <c r="I32" s="31" t="n">
        <v>2000000</v>
      </c>
      <c r="J32" s="30" t="inlineStr">
        <is>
          <t>EUR</t>
        </is>
      </c>
      <c r="K32">
        <f>IF(J32="EUR",I32,I32/VLOOKUP(J32,'FX Rates'!A:B,2,FALSE()))</f>
        <v/>
      </c>
      <c r="L32" s="32" t="n">
        <v>0.045</v>
      </c>
      <c r="M32" s="33" t="n">
        <v>47284</v>
      </c>
      <c r="N32" s="30" t="inlineStr">
        <is>
          <t>Expansion</t>
        </is>
      </c>
      <c r="O32" s="34" t="n">
        <v>0</v>
      </c>
      <c r="P32" s="31" t="n">
        <v>500000</v>
      </c>
      <c r="Q32" s="33" t="n">
        <v>45352</v>
      </c>
      <c r="R32" s="30" t="inlineStr">
        <is>
          <t>DE100000001</t>
        </is>
      </c>
      <c r="S32" s="30" t="inlineStr">
        <is>
          <t>Active</t>
        </is>
      </c>
    </row>
    <row r="33">
      <c r="A33" s="35" t="inlineStr">
        <is>
          <t>LN-0032</t>
        </is>
      </c>
      <c r="B33" s="35" t="inlineStr">
        <is>
          <t>MegaCorp Industries</t>
        </is>
      </c>
      <c r="C33" s="35" t="inlineStr">
        <is>
          <t>Germany</t>
        </is>
      </c>
      <c r="D33" s="35" t="inlineStr">
        <is>
          <t>Manufacturing</t>
        </is>
      </c>
      <c r="E33" s="35" t="inlineStr">
        <is>
          <t>C10</t>
        </is>
      </c>
      <c r="F33" s="35" t="inlineStr">
        <is>
          <t>Medium</t>
        </is>
      </c>
      <c r="G33" s="36" t="n">
        <v>35000000</v>
      </c>
      <c r="H33" s="35" t="n">
        <v>180</v>
      </c>
      <c r="I33" s="36" t="n">
        <v>2000000</v>
      </c>
      <c r="J33" s="35" t="inlineStr">
        <is>
          <t>EUR</t>
        </is>
      </c>
      <c r="K33">
        <f>IF(J33="EUR",I33,I33/VLOOKUP(J33,'FX Rates'!A:B,2,FALSE()))</f>
        <v/>
      </c>
      <c r="L33" s="37" t="n">
        <v>0.045</v>
      </c>
      <c r="M33" s="38" t="n">
        <v>47284</v>
      </c>
      <c r="N33" s="35" t="inlineStr">
        <is>
          <t>Expansion</t>
        </is>
      </c>
      <c r="O33" s="39" t="n">
        <v>0</v>
      </c>
      <c r="P33" s="36" t="n">
        <v>500000</v>
      </c>
      <c r="Q33" s="38" t="n">
        <v>45352</v>
      </c>
      <c r="R33" s="35" t="inlineStr">
        <is>
          <t>DE100000002</t>
        </is>
      </c>
      <c r="S33" s="35" t="inlineStr">
        <is>
          <t>Active</t>
        </is>
      </c>
    </row>
    <row r="34">
      <c r="A34" s="30" t="inlineStr">
        <is>
          <t>LN-0033</t>
        </is>
      </c>
      <c r="B34" s="30" t="inlineStr">
        <is>
          <t>MegaCorp Industries</t>
        </is>
      </c>
      <c r="C34" s="30" t="inlineStr">
        <is>
          <t>Germany</t>
        </is>
      </c>
      <c r="D34" s="30" t="inlineStr">
        <is>
          <t>Manufacturing</t>
        </is>
      </c>
      <c r="E34" s="30" t="inlineStr">
        <is>
          <t>C10</t>
        </is>
      </c>
      <c r="F34" s="30" t="inlineStr">
        <is>
          <t>Medium</t>
        </is>
      </c>
      <c r="G34" s="31" t="n">
        <v>35000000</v>
      </c>
      <c r="H34" s="30" t="n">
        <v>180</v>
      </c>
      <c r="I34" s="31" t="n">
        <v>2000000</v>
      </c>
      <c r="J34" s="30" t="inlineStr">
        <is>
          <t>EUR</t>
        </is>
      </c>
      <c r="K34">
        <f>IF(J34="EUR",I34,I34/VLOOKUP(J34,'FX Rates'!A:B,2,FALSE()))</f>
        <v/>
      </c>
      <c r="L34" s="32" t="n">
        <v>0.045</v>
      </c>
      <c r="M34" s="33" t="n">
        <v>47284</v>
      </c>
      <c r="N34" s="30" t="inlineStr">
        <is>
          <t>Expansion</t>
        </is>
      </c>
      <c r="O34" s="34" t="n">
        <v>0</v>
      </c>
      <c r="P34" s="31" t="n">
        <v>500000</v>
      </c>
      <c r="Q34" s="33" t="n">
        <v>45352</v>
      </c>
      <c r="R34" s="30" t="inlineStr">
        <is>
          <t>DE100000003</t>
        </is>
      </c>
      <c r="S34" s="30" t="inlineStr">
        <is>
          <t>Active</t>
        </is>
      </c>
    </row>
    <row r="35">
      <c r="A35" s="35" t="inlineStr">
        <is>
          <t>LN-0034</t>
        </is>
      </c>
      <c r="B35" s="35" t="inlineStr">
        <is>
          <t>MegaCorp Industries</t>
        </is>
      </c>
      <c r="C35" s="35" t="inlineStr">
        <is>
          <t>Germany</t>
        </is>
      </c>
      <c r="D35" s="35" t="inlineStr">
        <is>
          <t>Manufacturing</t>
        </is>
      </c>
      <c r="E35" s="35" t="inlineStr">
        <is>
          <t>C10</t>
        </is>
      </c>
      <c r="F35" s="35" t="inlineStr">
        <is>
          <t>Medium</t>
        </is>
      </c>
      <c r="G35" s="36" t="n">
        <v>35000000</v>
      </c>
      <c r="H35" s="35" t="n">
        <v>180</v>
      </c>
      <c r="I35" s="36" t="n">
        <v>2000000</v>
      </c>
      <c r="J35" s="35" t="inlineStr">
        <is>
          <t>EUR</t>
        </is>
      </c>
      <c r="K35">
        <f>IF(J35="EUR",I35,I35/VLOOKUP(J35,'FX Rates'!A:B,2,FALSE()))</f>
        <v/>
      </c>
      <c r="L35" s="37" t="n">
        <v>0.045</v>
      </c>
      <c r="M35" s="38" t="n">
        <v>47284</v>
      </c>
      <c r="N35" s="35" t="inlineStr">
        <is>
          <t>Expansion</t>
        </is>
      </c>
      <c r="O35" s="39" t="n">
        <v>0</v>
      </c>
      <c r="P35" s="36" t="n">
        <v>500000</v>
      </c>
      <c r="Q35" s="38" t="n">
        <v>45352</v>
      </c>
      <c r="R35" s="35" t="inlineStr">
        <is>
          <t>DE100000004</t>
        </is>
      </c>
      <c r="S35" s="35" t="inlineStr">
        <is>
          <t>Active</t>
        </is>
      </c>
    </row>
    <row r="36">
      <c r="A36" s="30" t="inlineStr">
        <is>
          <t>LN-0035</t>
        </is>
      </c>
      <c r="B36" s="30" t="inlineStr">
        <is>
          <t>TechAlpha GmbH</t>
        </is>
      </c>
      <c r="C36" s="30" t="inlineStr">
        <is>
          <t>Germany</t>
        </is>
      </c>
      <c r="D36" s="30" t="inlineStr">
        <is>
          <t>Technology</t>
        </is>
      </c>
      <c r="E36" s="30" t="inlineStr">
        <is>
          <t>J62</t>
        </is>
      </c>
      <c r="F36" s="30" t="inlineStr">
        <is>
          <t>Small</t>
        </is>
      </c>
      <c r="G36" s="31" t="n">
        <v>8000000</v>
      </c>
      <c r="H36" s="30" t="n">
        <v>80</v>
      </c>
      <c r="I36" s="31" t="n">
        <v>1500000</v>
      </c>
      <c r="J36" s="30" t="inlineStr">
        <is>
          <t>EUR</t>
        </is>
      </c>
      <c r="K36">
        <f>IF(J36="EUR",I36,I36/VLOOKUP(J36,'FX Rates'!A:B,2,FALSE()))</f>
        <v/>
      </c>
      <c r="L36" s="32" t="n">
        <v>0.055</v>
      </c>
      <c r="M36" s="33" t="n">
        <v>46997</v>
      </c>
      <c r="N36" s="30" t="inlineStr">
        <is>
          <t>R&amp;D Investment</t>
        </is>
      </c>
      <c r="O36" s="34" t="n">
        <v>0</v>
      </c>
      <c r="P36" s="31" t="n">
        <v>300000</v>
      </c>
      <c r="Q36" s="33" t="n">
        <v>45458</v>
      </c>
      <c r="R36" s="30" t="inlineStr">
        <is>
          <t>DE200000001</t>
        </is>
      </c>
      <c r="S36" s="30" t="inlineStr">
        <is>
          <t>Active</t>
        </is>
      </c>
    </row>
    <row r="37">
      <c r="A37" s="35" t="inlineStr">
        <is>
          <t>LN-0036</t>
        </is>
      </c>
      <c r="B37" s="35" t="inlineStr">
        <is>
          <t>TechBeta SA</t>
        </is>
      </c>
      <c r="C37" s="35" t="inlineStr">
        <is>
          <t>France</t>
        </is>
      </c>
      <c r="D37" s="35" t="inlineStr">
        <is>
          <t>Technology</t>
        </is>
      </c>
      <c r="E37" s="35" t="inlineStr">
        <is>
          <t>J62</t>
        </is>
      </c>
      <c r="F37" s="35" t="inlineStr">
        <is>
          <t>Small</t>
        </is>
      </c>
      <c r="G37" s="36" t="n">
        <v>8000000</v>
      </c>
      <c r="H37" s="35" t="n">
        <v>80</v>
      </c>
      <c r="I37" s="36" t="n">
        <v>1500000</v>
      </c>
      <c r="J37" s="35" t="inlineStr">
        <is>
          <t>EUR</t>
        </is>
      </c>
      <c r="K37">
        <f>IF(J37="EUR",I37,I37/VLOOKUP(J37,'FX Rates'!A:B,2,FALSE()))</f>
        <v/>
      </c>
      <c r="L37" s="37" t="n">
        <v>0.055</v>
      </c>
      <c r="M37" s="38" t="n">
        <v>46997</v>
      </c>
      <c r="N37" s="35" t="inlineStr">
        <is>
          <t>R&amp;D Investment</t>
        </is>
      </c>
      <c r="O37" s="39" t="n">
        <v>0</v>
      </c>
      <c r="P37" s="36" t="n">
        <v>300000</v>
      </c>
      <c r="Q37" s="38" t="n">
        <v>45458</v>
      </c>
      <c r="R37" s="35" t="inlineStr">
        <is>
          <t>FR200000002</t>
        </is>
      </c>
      <c r="S37" s="35" t="inlineStr">
        <is>
          <t>Active</t>
        </is>
      </c>
    </row>
    <row r="38">
      <c r="A38" s="30" t="inlineStr">
        <is>
          <t>LN-0037</t>
        </is>
      </c>
      <c r="B38" s="30" t="inlineStr">
        <is>
          <t>TechGamma Sp</t>
        </is>
      </c>
      <c r="C38" s="30" t="inlineStr">
        <is>
          <t>Poland</t>
        </is>
      </c>
      <c r="D38" s="30" t="inlineStr">
        <is>
          <t>Technology</t>
        </is>
      </c>
      <c r="E38" s="30" t="inlineStr">
        <is>
          <t>J62</t>
        </is>
      </c>
      <c r="F38" s="30" t="inlineStr">
        <is>
          <t>Small</t>
        </is>
      </c>
      <c r="G38" s="31" t="n">
        <v>8000000</v>
      </c>
      <c r="H38" s="30" t="n">
        <v>80</v>
      </c>
      <c r="I38" s="31" t="n">
        <v>1500000</v>
      </c>
      <c r="J38" s="30" t="inlineStr">
        <is>
          <t>PLN</t>
        </is>
      </c>
      <c r="K38">
        <f>IF(J38="EUR",I38,I38/VLOOKUP(J38,'FX Rates'!A:B,2,FALSE()))</f>
        <v/>
      </c>
      <c r="L38" s="32" t="n">
        <v>0.055</v>
      </c>
      <c r="M38" s="33" t="n">
        <v>46997</v>
      </c>
      <c r="N38" s="30" t="inlineStr">
        <is>
          <t>R&amp;D Investment</t>
        </is>
      </c>
      <c r="O38" s="34" t="n">
        <v>0</v>
      </c>
      <c r="P38" s="31" t="n">
        <v>300000</v>
      </c>
      <c r="Q38" s="33" t="n">
        <v>45458</v>
      </c>
      <c r="R38" s="30" t="inlineStr">
        <is>
          <t>PL200000003</t>
        </is>
      </c>
      <c r="S38" s="30" t="inlineStr">
        <is>
          <t>Active</t>
        </is>
      </c>
    </row>
    <row r="39">
      <c r="A39" s="35" t="inlineStr">
        <is>
          <t>LN-0038</t>
        </is>
      </c>
      <c r="B39" s="35" t="inlineStr">
        <is>
          <t>TechDelta Kft</t>
        </is>
      </c>
      <c r="C39" s="35" t="inlineStr">
        <is>
          <t>Hungary</t>
        </is>
      </c>
      <c r="D39" s="35" t="inlineStr">
        <is>
          <t>Technology</t>
        </is>
      </c>
      <c r="E39" s="35" t="inlineStr">
        <is>
          <t>J62</t>
        </is>
      </c>
      <c r="F39" s="35" t="inlineStr">
        <is>
          <t>Small</t>
        </is>
      </c>
      <c r="G39" s="36" t="n">
        <v>8000000</v>
      </c>
      <c r="H39" s="35" t="n">
        <v>80</v>
      </c>
      <c r="I39" s="36" t="n">
        <v>1500000</v>
      </c>
      <c r="J39" s="35" t="inlineStr">
        <is>
          <t>HUF</t>
        </is>
      </c>
      <c r="K39">
        <f>IF(J39="EUR",I39,I39/VLOOKUP(J39,'FX Rates'!A:B,2,FALSE()))</f>
        <v/>
      </c>
      <c r="L39" s="37" t="n">
        <v>0.055</v>
      </c>
      <c r="M39" s="38" t="n">
        <v>46997</v>
      </c>
      <c r="N39" s="35" t="inlineStr">
        <is>
          <t>R&amp;D Investment</t>
        </is>
      </c>
      <c r="O39" s="39" t="n">
        <v>0</v>
      </c>
      <c r="P39" s="36" t="n">
        <v>300000</v>
      </c>
      <c r="Q39" s="38" t="n">
        <v>45458</v>
      </c>
      <c r="R39" s="35" t="inlineStr">
        <is>
          <t>HU200000004</t>
        </is>
      </c>
      <c r="S39" s="35" t="inlineStr">
        <is>
          <t>Active</t>
        </is>
      </c>
    </row>
    <row r="40">
      <c r="A40" s="30" t="inlineStr">
        <is>
          <t>LN-0039</t>
        </is>
      </c>
      <c r="B40" s="30" t="inlineStr">
        <is>
          <t>TechEpsilon BV</t>
        </is>
      </c>
      <c r="C40" s="30" t="inlineStr">
        <is>
          <t>Netherlands</t>
        </is>
      </c>
      <c r="D40" s="30" t="inlineStr">
        <is>
          <t>Technology</t>
        </is>
      </c>
      <c r="E40" s="30" t="inlineStr">
        <is>
          <t>J62</t>
        </is>
      </c>
      <c r="F40" s="30" t="inlineStr">
        <is>
          <t>Small</t>
        </is>
      </c>
      <c r="G40" s="31" t="n">
        <v>8000000</v>
      </c>
      <c r="H40" s="30" t="n">
        <v>80</v>
      </c>
      <c r="I40" s="31" t="n">
        <v>1500000</v>
      </c>
      <c r="J40" s="30" t="inlineStr">
        <is>
          <t>EUR</t>
        </is>
      </c>
      <c r="K40">
        <f>IF(J40="EUR",I40,I40/VLOOKUP(J40,'FX Rates'!A:B,2,FALSE()))</f>
        <v/>
      </c>
      <c r="L40" s="32" t="n">
        <v>0.055</v>
      </c>
      <c r="M40" s="33" t="n">
        <v>46997</v>
      </c>
      <c r="N40" s="30" t="inlineStr">
        <is>
          <t>R&amp;D Investment</t>
        </is>
      </c>
      <c r="O40" s="34" t="n">
        <v>0</v>
      </c>
      <c r="P40" s="31" t="n">
        <v>300000</v>
      </c>
      <c r="Q40" s="33" t="n">
        <v>45458</v>
      </c>
      <c r="R40" s="30" t="inlineStr">
        <is>
          <t>NL200000005</t>
        </is>
      </c>
      <c r="S40" s="30" t="inlineStr">
        <is>
          <t>Active</t>
        </is>
      </c>
    </row>
    <row r="41">
      <c r="A41" s="35" t="inlineStr">
        <is>
          <t>LN-0040</t>
        </is>
      </c>
      <c r="B41" s="35" t="inlineStr">
        <is>
          <t>Berlin Logistics AG</t>
        </is>
      </c>
      <c r="C41" s="35" t="inlineStr">
        <is>
          <t>Germany</t>
        </is>
      </c>
      <c r="D41" s="35" t="inlineStr">
        <is>
          <t>Transport</t>
        </is>
      </c>
      <c r="E41" s="35" t="inlineStr">
        <is>
          <t>H49</t>
        </is>
      </c>
      <c r="F41" s="35" t="inlineStr">
        <is>
          <t>Medium</t>
        </is>
      </c>
      <c r="G41" s="36" t="n">
        <v>25000000</v>
      </c>
      <c r="H41" s="35" t="n">
        <v>150</v>
      </c>
      <c r="I41" s="36" t="n">
        <v>2000000</v>
      </c>
      <c r="J41" s="35" t="inlineStr">
        <is>
          <t>EUR</t>
        </is>
      </c>
      <c r="K41">
        <f>IF(J41="EUR",I41,I41/VLOOKUP(J41,'FX Rates'!A:B,2,FALSE()))</f>
        <v/>
      </c>
      <c r="L41" s="37" t="n">
        <v>0.04</v>
      </c>
      <c r="M41" s="38" t="n">
        <v>47482</v>
      </c>
      <c r="N41" s="35" t="inlineStr">
        <is>
          <t>Working Capital</t>
        </is>
      </c>
      <c r="O41" s="39" t="n">
        <v>0</v>
      </c>
      <c r="P41" s="36" t="n">
        <v>600000</v>
      </c>
      <c r="Q41" s="38" t="n">
        <v>45536</v>
      </c>
      <c r="R41" s="35" t="inlineStr">
        <is>
          <t>DE300000001</t>
        </is>
      </c>
      <c r="S41" s="35" t="inlineStr">
        <is>
          <t>Active</t>
        </is>
      </c>
    </row>
    <row r="42">
      <c r="A42" s="30" t="inlineStr">
        <is>
          <t>LN-0041</t>
        </is>
      </c>
      <c r="B42" s="30" t="inlineStr">
        <is>
          <t>Munich Health GmbH</t>
        </is>
      </c>
      <c r="C42" s="30" t="inlineStr">
        <is>
          <t>Germany</t>
        </is>
      </c>
      <c r="D42" s="30" t="inlineStr">
        <is>
          <t>Healthcare</t>
        </is>
      </c>
      <c r="E42" s="30" t="inlineStr">
        <is>
          <t>Q86</t>
        </is>
      </c>
      <c r="F42" s="30" t="inlineStr">
        <is>
          <t>Medium</t>
        </is>
      </c>
      <c r="G42" s="31" t="n">
        <v>25000000</v>
      </c>
      <c r="H42" s="30" t="n">
        <v>150</v>
      </c>
      <c r="I42" s="31" t="n">
        <v>2000000</v>
      </c>
      <c r="J42" s="30" t="inlineStr">
        <is>
          <t>EUR</t>
        </is>
      </c>
      <c r="K42">
        <f>IF(J42="EUR",I42,I42/VLOOKUP(J42,'FX Rates'!A:B,2,FALSE()))</f>
        <v/>
      </c>
      <c r="L42" s="32" t="n">
        <v>0.04</v>
      </c>
      <c r="M42" s="33" t="n">
        <v>47482</v>
      </c>
      <c r="N42" s="30" t="inlineStr">
        <is>
          <t>Working Capital</t>
        </is>
      </c>
      <c r="O42" s="34" t="n">
        <v>0</v>
      </c>
      <c r="P42" s="31" t="n">
        <v>600000</v>
      </c>
      <c r="Q42" s="33" t="n">
        <v>45536</v>
      </c>
      <c r="R42" s="30" t="inlineStr">
        <is>
          <t>DE300000002</t>
        </is>
      </c>
      <c r="S42" s="30" t="inlineStr">
        <is>
          <t>Active</t>
        </is>
      </c>
    </row>
    <row r="43">
      <c r="A43" s="35" t="inlineStr">
        <is>
          <t>LN-0042</t>
        </is>
      </c>
      <c r="B43" s="35" t="inlineStr">
        <is>
          <t>Hamburg Port Services</t>
        </is>
      </c>
      <c r="C43" s="35" t="inlineStr">
        <is>
          <t>Germany</t>
        </is>
      </c>
      <c r="D43" s="35" t="inlineStr">
        <is>
          <t>Services</t>
        </is>
      </c>
      <c r="E43" s="35" t="inlineStr">
        <is>
          <t>M69</t>
        </is>
      </c>
      <c r="F43" s="35" t="inlineStr">
        <is>
          <t>Medium</t>
        </is>
      </c>
      <c r="G43" s="36" t="n">
        <v>25000000</v>
      </c>
      <c r="H43" s="35" t="n">
        <v>150</v>
      </c>
      <c r="I43" s="36" t="n">
        <v>2000000</v>
      </c>
      <c r="J43" s="35" t="inlineStr">
        <is>
          <t>EUR</t>
        </is>
      </c>
      <c r="K43">
        <f>IF(J43="EUR",I43,I43/VLOOKUP(J43,'FX Rates'!A:B,2,FALSE()))</f>
        <v/>
      </c>
      <c r="L43" s="37" t="n">
        <v>0.04</v>
      </c>
      <c r="M43" s="38" t="n">
        <v>47482</v>
      </c>
      <c r="N43" s="35" t="inlineStr">
        <is>
          <t>Working Capital</t>
        </is>
      </c>
      <c r="O43" s="39" t="n">
        <v>0</v>
      </c>
      <c r="P43" s="36" t="n">
        <v>600000</v>
      </c>
      <c r="Q43" s="38" t="n">
        <v>45536</v>
      </c>
      <c r="R43" s="35" t="inlineStr">
        <is>
          <t>DE300000003</t>
        </is>
      </c>
      <c r="S43" s="35" t="inlineStr">
        <is>
          <t>Active</t>
        </is>
      </c>
    </row>
    <row r="44">
      <c r="A44" s="30" t="inlineStr">
        <is>
          <t>LN-0043</t>
        </is>
      </c>
      <c r="B44" s="30" t="inlineStr">
        <is>
          <t>Dresden Energy Co</t>
        </is>
      </c>
      <c r="C44" s="30" t="inlineStr">
        <is>
          <t>Germany</t>
        </is>
      </c>
      <c r="D44" s="30" t="inlineStr">
        <is>
          <t>Energy</t>
        </is>
      </c>
      <c r="E44" s="30" t="inlineStr">
        <is>
          <t>D35</t>
        </is>
      </c>
      <c r="F44" s="30" t="inlineStr">
        <is>
          <t>Medium</t>
        </is>
      </c>
      <c r="G44" s="31" t="n">
        <v>25000000</v>
      </c>
      <c r="H44" s="30" t="n">
        <v>150</v>
      </c>
      <c r="I44" s="31" t="n">
        <v>2000000</v>
      </c>
      <c r="J44" s="30" t="inlineStr">
        <is>
          <t>EUR</t>
        </is>
      </c>
      <c r="K44">
        <f>IF(J44="EUR",I44,I44/VLOOKUP(J44,'FX Rates'!A:B,2,FALSE()))</f>
        <v/>
      </c>
      <c r="L44" s="32" t="n">
        <v>0.04</v>
      </c>
      <c r="M44" s="33" t="n">
        <v>47482</v>
      </c>
      <c r="N44" s="30" t="inlineStr">
        <is>
          <t>Working Capital</t>
        </is>
      </c>
      <c r="O44" s="34" t="n">
        <v>0</v>
      </c>
      <c r="P44" s="31" t="n">
        <v>600000</v>
      </c>
      <c r="Q44" s="33" t="n">
        <v>45536</v>
      </c>
      <c r="R44" s="30" t="inlineStr">
        <is>
          <t>DE300000004</t>
        </is>
      </c>
      <c r="S44" s="30" t="inlineStr">
        <is>
          <t>Active</t>
        </is>
      </c>
    </row>
    <row r="45">
      <c r="A45" s="35" t="inlineStr">
        <is>
          <t>LN-0044</t>
        </is>
      </c>
      <c r="B45" s="35" t="inlineStr">
        <is>
          <t>Leipzig Retail Group</t>
        </is>
      </c>
      <c r="C45" s="35" t="inlineStr">
        <is>
          <t>Germany</t>
        </is>
      </c>
      <c r="D45" s="35" t="inlineStr">
        <is>
          <t>Retail</t>
        </is>
      </c>
      <c r="E45" s="35" t="inlineStr">
        <is>
          <t>G47</t>
        </is>
      </c>
      <c r="F45" s="35" t="inlineStr">
        <is>
          <t>Medium</t>
        </is>
      </c>
      <c r="G45" s="36" t="n">
        <v>25000000</v>
      </c>
      <c r="H45" s="35" t="n">
        <v>150</v>
      </c>
      <c r="I45" s="36" t="n">
        <v>2000000</v>
      </c>
      <c r="J45" s="35" t="inlineStr">
        <is>
          <t>EUR</t>
        </is>
      </c>
      <c r="K45">
        <f>IF(J45="EUR",I45,I45/VLOOKUP(J45,'FX Rates'!A:B,2,FALSE()))</f>
        <v/>
      </c>
      <c r="L45" s="37" t="n">
        <v>0.04</v>
      </c>
      <c r="M45" s="38" t="n">
        <v>47482</v>
      </c>
      <c r="N45" s="35" t="inlineStr">
        <is>
          <t>Working Capital</t>
        </is>
      </c>
      <c r="O45" s="39" t="n">
        <v>0</v>
      </c>
      <c r="P45" s="36" t="n">
        <v>600000</v>
      </c>
      <c r="Q45" s="38" t="n">
        <v>45536</v>
      </c>
      <c r="R45" s="35" t="inlineStr">
        <is>
          <t>DE300000005</t>
        </is>
      </c>
      <c r="S45" s="35" t="inlineStr">
        <is>
          <t>Active</t>
        </is>
      </c>
    </row>
  </sheetData>
  <autoFilter ref="A1:S31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3">
    <tabColor rgb="FF27AE60"/>
    <outlinePr summaryBelow="1" summaryRight="1"/>
    <pageSetUpPr/>
  </sheetPr>
  <dimension ref="A1:F37"/>
  <sheetViews>
    <sheetView zoomScaleNormal="100" workbookViewId="0">
      <selection activeCell="D16" sqref="D16"/>
    </sheetView>
  </sheetViews>
  <sheetFormatPr baseColWidth="8" defaultColWidth="8.6328125" defaultRowHeight="14.5"/>
  <cols>
    <col width="25" customWidth="1" min="1" max="2"/>
    <col width="24.453125" bestFit="1" customWidth="1" min="3" max="3"/>
    <col width="27.1796875" bestFit="1" customWidth="1" min="4" max="4"/>
    <col width="12" customWidth="1" min="5" max="5"/>
    <col width="25" customWidth="1" min="6" max="6"/>
  </cols>
  <sheetData>
    <row r="1" ht="18" customHeight="1">
      <c r="A1" s="18" t="inlineStr">
        <is>
          <t>Guarantee Program Configuration</t>
        </is>
      </c>
    </row>
    <row r="2">
      <c r="A2" s="19" t="inlineStr">
        <is>
          <t>Active Program:</t>
        </is>
      </c>
      <c r="B2" s="20" t="inlineStr">
        <is>
          <t>EU SME Guarantee Facility 2025</t>
        </is>
      </c>
    </row>
    <row r="4">
      <c r="A4" s="5" t="inlineStr">
        <is>
          <t>Criterion</t>
        </is>
      </c>
      <c r="B4" s="5" t="inlineStr">
        <is>
          <t>Parameter</t>
        </is>
      </c>
      <c r="C4" s="5" t="inlineStr">
        <is>
          <t>Min Value</t>
        </is>
      </c>
      <c r="D4" s="5" t="inlineStr">
        <is>
          <t>Max Value</t>
        </is>
      </c>
      <c r="E4" s="5" t="inlineStr">
        <is>
          <t>Unit</t>
        </is>
      </c>
      <c r="F4" s="5" t="inlineStr">
        <is>
          <t>Notes</t>
        </is>
      </c>
    </row>
    <row r="5">
      <c r="A5" s="21" t="inlineStr">
        <is>
          <t>Loan Size</t>
        </is>
      </c>
      <c r="B5" s="21" t="inlineStr">
        <is>
          <t>Individual loan amount</t>
        </is>
      </c>
      <c r="C5" s="13" t="n">
        <v>10000</v>
      </c>
      <c r="D5" s="13" t="n">
        <v>5000000</v>
      </c>
      <c r="E5" s="21" t="inlineStr">
        <is>
          <t>EUR</t>
        </is>
      </c>
      <c r="F5" s="21" t="inlineStr">
        <is>
          <t>After FX conversion to EUR</t>
        </is>
      </c>
    </row>
    <row r="6">
      <c r="A6" s="22" t="inlineStr">
        <is>
          <t>SME Revenue Cap</t>
        </is>
      </c>
      <c r="B6" s="22" t="inlineStr">
        <is>
          <t>Annual revenue threshold</t>
        </is>
      </c>
      <c r="C6" s="6" t="n"/>
      <c r="D6" s="7" t="n">
        <v>50000000</v>
      </c>
      <c r="E6" s="22" t="inlineStr">
        <is>
          <t>EUR</t>
        </is>
      </c>
      <c r="F6" s="22" t="inlineStr">
        <is>
          <t>EU SME definition</t>
        </is>
      </c>
    </row>
    <row r="7">
      <c r="A7" s="21" t="inlineStr">
        <is>
          <t>Employee Count</t>
        </is>
      </c>
      <c r="B7" s="21" t="inlineStr">
        <is>
          <t>Maximum headcount</t>
        </is>
      </c>
      <c r="C7" s="12" t="n"/>
      <c r="D7" s="13" t="n">
        <v>250</v>
      </c>
      <c r="E7" s="21" t="inlineStr">
        <is>
          <t>Persons</t>
        </is>
      </c>
      <c r="F7" s="21" t="inlineStr">
        <is>
          <t>EU SME definition</t>
        </is>
      </c>
    </row>
    <row r="8">
      <c r="A8" s="22" t="inlineStr">
        <is>
          <t>SME Classification</t>
        </is>
      </c>
      <c r="B8" s="22" t="inlineStr">
        <is>
          <t>Eligible classifications</t>
        </is>
      </c>
      <c r="C8" s="6" t="n"/>
      <c r="D8" s="6" t="n"/>
      <c r="E8" s="22" t="inlineStr">
        <is>
          <t>List</t>
        </is>
      </c>
      <c r="F8" s="22" t="inlineStr">
        <is>
          <t>Micro, Small, Medium</t>
        </is>
      </c>
    </row>
    <row r="9">
      <c r="A9" s="21" t="inlineStr">
        <is>
          <t>Eligible Countries</t>
        </is>
      </c>
      <c r="B9" s="21" t="inlineStr">
        <is>
          <t>EU/EEA member states</t>
        </is>
      </c>
      <c r="C9" s="12" t="n"/>
      <c r="D9" s="12" t="n"/>
      <c r="E9" s="21" t="inlineStr">
        <is>
          <t>List</t>
        </is>
      </c>
      <c r="F9" s="21" t="inlineStr">
        <is>
          <t>See Country List below</t>
        </is>
      </c>
    </row>
    <row r="10">
      <c r="A10" s="22" t="inlineStr">
        <is>
          <t>Eligible Sectors</t>
        </is>
      </c>
      <c r="B10" s="22" t="inlineStr">
        <is>
          <t>Permitted NACE sectors</t>
        </is>
      </c>
      <c r="C10" s="6" t="n"/>
      <c r="D10" s="6" t="n"/>
      <c r="E10" s="22" t="inlineStr">
        <is>
          <t>List</t>
        </is>
      </c>
      <c r="F10" s="22" t="inlineStr">
        <is>
          <t>Excludes: Gambling, Weapons, Tobacco</t>
        </is>
      </c>
    </row>
    <row r="11">
      <c r="A11" s="21" t="inlineStr">
        <is>
          <t>Maturity Range</t>
        </is>
      </c>
      <c r="B11" s="21" t="inlineStr">
        <is>
          <t>Loan maturity window</t>
        </is>
      </c>
      <c r="C11" s="13" t="n">
        <v>1</v>
      </c>
      <c r="D11" s="13" t="n">
        <v>10</v>
      </c>
      <c r="E11" s="21" t="inlineStr">
        <is>
          <t>Years</t>
        </is>
      </c>
      <c r="F11" s="21" t="inlineStr">
        <is>
          <t>From origination date</t>
        </is>
      </c>
    </row>
    <row r="12">
      <c r="A12" s="22" t="inlineStr">
        <is>
          <t>Maximum Interest Rate</t>
        </is>
      </c>
      <c r="B12" s="22" t="inlineStr">
        <is>
          <t>Cap on borrowing cost</t>
        </is>
      </c>
      <c r="C12" s="6" t="n"/>
      <c r="D12" s="7" t="n">
        <v>10</v>
      </c>
      <c r="E12" s="22" t="inlineStr">
        <is>
          <t>%</t>
        </is>
      </c>
      <c r="F12" s="22" t="inlineStr">
        <is>
          <t>Annual rate</t>
        </is>
      </c>
    </row>
    <row r="13">
      <c r="A13" s="21" t="inlineStr">
        <is>
          <t>Existing Guarantee Cap</t>
        </is>
      </c>
      <c r="B13" s="21" t="inlineStr">
        <is>
          <t>Max pre-existing guarantee</t>
        </is>
      </c>
      <c r="C13" s="12" t="n"/>
      <c r="D13" s="13" t="n">
        <v>80</v>
      </c>
      <c r="E13" s="21" t="inlineStr">
        <is>
          <t>%</t>
        </is>
      </c>
      <c r="F13" s="21" t="inlineStr">
        <is>
          <t>Of loan amount</t>
        </is>
      </c>
    </row>
    <row r="14">
      <c r="A14" s="22" t="inlineStr">
        <is>
          <t>Minimum Origination Date</t>
        </is>
      </c>
      <c r="B14" s="22" t="inlineStr">
        <is>
          <t>Earliest eligible origination</t>
        </is>
      </c>
      <c r="C14" s="6" t="n"/>
      <c r="D14" s="6" t="n"/>
      <c r="E14" s="22" t="inlineStr">
        <is>
          <t>Date</t>
        </is>
      </c>
      <c r="F14" s="22" t="inlineStr">
        <is>
          <t>01/01/2024</t>
        </is>
      </c>
    </row>
    <row r="15">
      <c r="A15" s="21" t="inlineStr">
        <is>
          <t>Borrower Status</t>
        </is>
      </c>
      <c r="B15" s="21" t="inlineStr">
        <is>
          <t>Loan must be performing</t>
        </is>
      </c>
      <c r="C15" s="12" t="n"/>
      <c r="D15" s="12" t="n"/>
      <c r="E15" s="21" t="inlineStr">
        <is>
          <t>Status</t>
        </is>
      </c>
      <c r="F15" s="21" t="inlineStr">
        <is>
          <t>Active only</t>
        </is>
      </c>
    </row>
    <row r="18" ht="15.5" customHeight="1">
      <c r="A18" s="23" t="inlineStr">
        <is>
          <t>Eligible Countries</t>
        </is>
      </c>
      <c r="C18" s="23" t="inlineStr">
        <is>
          <t>Excluded Sectors</t>
        </is>
      </c>
    </row>
    <row r="19">
      <c r="A19" s="24" t="inlineStr">
        <is>
          <t>Germany</t>
        </is>
      </c>
      <c r="C19" s="24" t="inlineStr">
        <is>
          <t>Gambling &amp; Betting</t>
        </is>
      </c>
    </row>
    <row r="20">
      <c r="A20" s="24" t="inlineStr">
        <is>
          <t>France</t>
        </is>
      </c>
      <c r="C20" s="24" t="inlineStr">
        <is>
          <t>Weapons &amp; Ammunition</t>
        </is>
      </c>
    </row>
    <row r="21">
      <c r="A21" s="24" t="inlineStr">
        <is>
          <t>Italy</t>
        </is>
      </c>
      <c r="C21" s="24" t="inlineStr">
        <is>
          <t>Tobacco Products</t>
        </is>
      </c>
    </row>
    <row r="22">
      <c r="A22" s="24" t="inlineStr">
        <is>
          <t>Spain</t>
        </is>
      </c>
    </row>
    <row r="23">
      <c r="A23" s="24" t="inlineStr">
        <is>
          <t>Poland</t>
        </is>
      </c>
    </row>
    <row r="24">
      <c r="A24" s="24" t="inlineStr">
        <is>
          <t>Netherlands</t>
        </is>
      </c>
    </row>
    <row r="25">
      <c r="A25" s="24" t="inlineStr">
        <is>
          <t>Czech Republic</t>
        </is>
      </c>
    </row>
    <row r="26">
      <c r="A26" s="24" t="inlineStr">
        <is>
          <t>Romania</t>
        </is>
      </c>
    </row>
    <row r="27">
      <c r="A27" s="24" t="inlineStr">
        <is>
          <t>Hungary</t>
        </is>
      </c>
    </row>
    <row r="28">
      <c r="A28" s="24" t="inlineStr">
        <is>
          <t>Portugal</t>
        </is>
      </c>
    </row>
    <row r="32" ht="15.5" customHeight="1">
      <c r="A32" s="23" t="inlineStr">
        <is>
          <t>Concentration Limits</t>
        </is>
      </c>
    </row>
    <row r="33">
      <c r="A33" s="5" t="inlineStr">
        <is>
          <t>Limit Type</t>
        </is>
      </c>
      <c r="B33" s="5" t="inlineStr">
        <is>
          <t>Maximum (%)</t>
        </is>
      </c>
      <c r="C33" s="5" t="inlineStr">
        <is>
          <t>Basis</t>
        </is>
      </c>
      <c r="D33" s="5" t="inlineStr">
        <is>
          <t>Notes</t>
        </is>
      </c>
    </row>
    <row r="34">
      <c r="A34" s="22" t="inlineStr">
        <is>
          <t>Single Borrower</t>
        </is>
      </c>
      <c r="B34" s="11" t="n">
        <v>0.05</v>
      </c>
      <c r="C34" s="22" t="inlineStr">
        <is>
          <t>Total Portfolio EUR Exposure</t>
        </is>
      </c>
      <c r="D34" s="22" t="inlineStr">
        <is>
          <t>No single borrower &gt; 5% of total</t>
        </is>
      </c>
    </row>
    <row r="35">
      <c r="A35" s="21" t="inlineStr">
        <is>
          <t>Top 10 Borrowers</t>
        </is>
      </c>
      <c r="B35" s="17" t="n">
        <v>0.3</v>
      </c>
      <c r="C35" s="21" t="inlineStr">
        <is>
          <t>Total Portfolio EUR Exposure</t>
        </is>
      </c>
      <c r="D35" s="21" t="inlineStr">
        <is>
          <t>Combined top 10 &lt; 30%</t>
        </is>
      </c>
    </row>
    <row r="36">
      <c r="A36" s="22" t="inlineStr">
        <is>
          <t>Single Sector</t>
        </is>
      </c>
      <c r="B36" s="11" t="n">
        <v>0.25</v>
      </c>
      <c r="C36" s="22" t="inlineStr">
        <is>
          <t>Total Portfolio EUR Exposure</t>
        </is>
      </c>
      <c r="D36" s="22" t="inlineStr">
        <is>
          <t>No single sector &gt; 25%</t>
        </is>
      </c>
    </row>
    <row r="37">
      <c r="A37" s="21" t="inlineStr">
        <is>
          <t>Single Country</t>
        </is>
      </c>
      <c r="B37" s="17" t="n">
        <v>0.35</v>
      </c>
      <c r="C37" s="21" t="inlineStr">
        <is>
          <t>Total Portfolio EUR Exposure</t>
        </is>
      </c>
      <c r="D37" s="21" t="inlineStr">
        <is>
          <t>No single country &gt; 35%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4">
    <tabColor rgb="FFF39C12"/>
    <outlinePr summaryBelow="1" summaryRight="1"/>
    <pageSetUpPr/>
  </sheetPr>
  <dimension ref="A1:D13"/>
  <sheetViews>
    <sheetView zoomScaleNormal="100" workbookViewId="0">
      <selection activeCell="A1" sqref="A1:D1"/>
    </sheetView>
  </sheetViews>
  <sheetFormatPr baseColWidth="8" defaultColWidth="8.6328125" defaultRowHeight="14.5"/>
  <cols>
    <col width="25" customWidth="1" min="1" max="1"/>
    <col width="17" customWidth="1" min="2" max="2"/>
    <col width="15" customWidth="1" min="3" max="3"/>
    <col width="21" customWidth="1" min="4" max="4"/>
  </cols>
  <sheetData>
    <row r="1" ht="18" customHeight="1">
      <c r="A1" s="18" t="inlineStr">
        <is>
          <t>Currency Exchange Rates (per 1 EUR)</t>
        </is>
      </c>
    </row>
    <row r="3">
      <c r="A3" s="5" t="inlineStr">
        <is>
          <t>Currency</t>
        </is>
      </c>
      <c r="B3" s="5" t="inlineStr">
        <is>
          <t>Rate (per EUR)</t>
        </is>
      </c>
      <c r="C3" s="5" t="inlineStr">
        <is>
          <t>Last Updated</t>
        </is>
      </c>
      <c r="D3" s="5" t="inlineStr">
        <is>
          <t>Source</t>
        </is>
      </c>
    </row>
    <row r="4">
      <c r="A4" s="22" t="inlineStr">
        <is>
          <t>EUR</t>
        </is>
      </c>
      <c r="B4" s="25" t="n">
        <v>1</v>
      </c>
      <c r="C4" s="26" t="n">
        <v>45992</v>
      </c>
      <c r="D4" s="22" t="inlineStr">
        <is>
          <t>Base Currency</t>
        </is>
      </c>
    </row>
    <row r="5">
      <c r="A5" s="21" t="inlineStr">
        <is>
          <t>PLN</t>
        </is>
      </c>
      <c r="B5" s="27" t="n">
        <v>4.32</v>
      </c>
      <c r="C5" s="28" t="n">
        <v>45992</v>
      </c>
      <c r="D5" s="21" t="inlineStr">
        <is>
          <t>ECB Reference Rate</t>
        </is>
      </c>
    </row>
    <row r="6">
      <c r="A6" s="22" t="inlineStr">
        <is>
          <t>CZK</t>
        </is>
      </c>
      <c r="B6" s="25" t="n">
        <v>25.28</v>
      </c>
      <c r="C6" s="26" t="n">
        <v>45992</v>
      </c>
      <c r="D6" s="22" t="inlineStr">
        <is>
          <t>ECB Reference Rate</t>
        </is>
      </c>
    </row>
    <row r="7">
      <c r="A7" s="21" t="inlineStr">
        <is>
          <t>RON</t>
        </is>
      </c>
      <c r="B7" s="27" t="n">
        <v>4.975</v>
      </c>
      <c r="C7" s="28" t="n">
        <v>45992</v>
      </c>
      <c r="D7" s="21" t="inlineStr">
        <is>
          <t>ECB Reference Rate</t>
        </is>
      </c>
    </row>
    <row r="8">
      <c r="A8" s="22" t="inlineStr">
        <is>
          <t>HUF</t>
        </is>
      </c>
      <c r="B8" s="25" t="n">
        <v>408.5</v>
      </c>
      <c r="C8" s="26" t="n">
        <v>45992</v>
      </c>
      <c r="D8" s="22" t="inlineStr">
        <is>
          <t>ECB Reference Rate</t>
        </is>
      </c>
    </row>
    <row r="9">
      <c r="A9" s="21" t="inlineStr">
        <is>
          <t>GBP</t>
        </is>
      </c>
      <c r="B9" s="27" t="n">
        <v>0.859</v>
      </c>
      <c r="C9" s="28" t="n">
        <v>45992</v>
      </c>
      <c r="D9" s="21" t="inlineStr">
        <is>
          <t>ECB Reference Rate</t>
        </is>
      </c>
    </row>
    <row r="10">
      <c r="A10" s="22" t="inlineStr">
        <is>
          <t>USD</t>
        </is>
      </c>
      <c r="B10" s="25" t="n">
        <v>1.052</v>
      </c>
      <c r="C10" s="26" t="n">
        <v>45992</v>
      </c>
      <c r="D10" s="22" t="inlineStr">
        <is>
          <t>ECB Reference Rate</t>
        </is>
      </c>
    </row>
    <row r="11">
      <c r="A11" s="21" t="inlineStr">
        <is>
          <t>SEK</t>
        </is>
      </c>
      <c r="B11" s="27" t="n">
        <v>11.24</v>
      </c>
      <c r="C11" s="28" t="n">
        <v>45992</v>
      </c>
      <c r="D11" s="21" t="inlineStr">
        <is>
          <t>ECB Reference Rate</t>
        </is>
      </c>
    </row>
    <row r="12">
      <c r="A12" s="22" t="inlineStr">
        <is>
          <t>DKK</t>
        </is>
      </c>
      <c r="B12" s="25" t="n">
        <v>7.459</v>
      </c>
      <c r="C12" s="26" t="n">
        <v>45992</v>
      </c>
      <c r="D12" s="22" t="inlineStr">
        <is>
          <t>ECB Reference Rate</t>
        </is>
      </c>
    </row>
    <row r="13">
      <c r="A13" s="21" t="inlineStr">
        <is>
          <t>CHF</t>
        </is>
      </c>
      <c r="B13" s="27" t="n">
        <v>0.9379999999999999</v>
      </c>
      <c r="C13" s="28" t="n">
        <v>45992</v>
      </c>
      <c r="D13" s="21" t="inlineStr">
        <is>
          <t>ECB Reference Rate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5">
    <tabColor rgb="FFE74C3C"/>
    <outlinePr summaryBelow="1" summaryRight="1"/>
    <pageSetUpPr/>
  </sheetPr>
  <dimension ref="A1:G25"/>
  <sheetViews>
    <sheetView zoomScaleNormal="100" workbookViewId="0">
      <selection activeCell="A1" sqref="A1:G1"/>
    </sheetView>
  </sheetViews>
  <sheetFormatPr baseColWidth="8" defaultColWidth="8.6328125" defaultRowHeight="14.5"/>
  <cols>
    <col width="25" customWidth="1" min="1" max="1"/>
    <col width="13" customWidth="1" min="2" max="2"/>
    <col width="12" customWidth="1" min="3" max="6"/>
    <col width="18" customWidth="1" min="7" max="7"/>
  </cols>
  <sheetData>
    <row r="1" ht="18" customHeight="1">
      <c r="A1" s="18" t="inlineStr">
        <is>
          <t>Pre-Validation Data Integrity Checks</t>
        </is>
      </c>
    </row>
    <row r="2">
      <c r="A2" s="24" t="inlineStr">
        <is>
          <t>These checks run before eligibility validation to ensure data quality</t>
        </is>
      </c>
    </row>
    <row r="4">
      <c r="A4" s="5" t="inlineStr">
        <is>
          <t>Check #</t>
        </is>
      </c>
      <c r="B4" s="5" t="inlineStr">
        <is>
          <t>Check Type</t>
        </is>
      </c>
      <c r="C4" s="5" t="inlineStr">
        <is>
          <t>Loan ID</t>
        </is>
      </c>
      <c r="D4" s="5" t="inlineStr">
        <is>
          <t>Field</t>
        </is>
      </c>
      <c r="E4" s="5" t="inlineStr">
        <is>
          <t>Issue</t>
        </is>
      </c>
      <c r="F4" s="5" t="inlineStr">
        <is>
          <t>Severity</t>
        </is>
      </c>
      <c r="G4" s="5" t="inlineStr">
        <is>
          <t>Action Required</t>
        </is>
      </c>
    </row>
    <row r="5">
      <c r="A5" t="inlineStr">
        <is>
          <t>Populated by VBA engine at runtime</t>
        </is>
      </c>
      <c r="F5" s="61" t="n"/>
    </row>
    <row r="6">
      <c r="F6" s="62" t="n"/>
    </row>
    <row r="7">
      <c r="F7" s="62" t="n"/>
    </row>
    <row r="8">
      <c r="F8" s="62" t="n"/>
    </row>
    <row r="9">
      <c r="F9" s="62" t="n"/>
    </row>
    <row r="10">
      <c r="F10" s="62" t="n"/>
    </row>
    <row r="11">
      <c r="F11" s="61" t="n"/>
    </row>
    <row r="12">
      <c r="F12" s="62" t="n"/>
    </row>
    <row r="13">
      <c r="F13" s="62" t="n"/>
    </row>
    <row r="14">
      <c r="F14" s="62" t="n"/>
    </row>
    <row r="15">
      <c r="F15" s="62" t="n"/>
    </row>
    <row r="16">
      <c r="F16" s="62" t="n"/>
    </row>
    <row r="17">
      <c r="F17" s="62" t="n"/>
    </row>
    <row r="18"/>
    <row r="19"/>
    <row r="20" ht="15.5" customHeight="1">
      <c r="A20" s="41" t="n"/>
    </row>
    <row r="21"/>
    <row r="22"/>
    <row r="23">
      <c r="B23" s="42" t="n"/>
    </row>
    <row r="24">
      <c r="B24" s="43" t="n"/>
    </row>
    <row r="25">
      <c r="B25" s="44" t="n"/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6">
    <tabColor rgb="FFF39C12"/>
    <outlinePr summaryBelow="1" summaryRight="1"/>
    <pageSetUpPr/>
  </sheetPr>
  <dimension ref="A1:F45"/>
  <sheetViews>
    <sheetView zoomScaleNormal="100" workbookViewId="0">
      <selection activeCell="A1" sqref="A1:F1"/>
    </sheetView>
  </sheetViews>
  <sheetFormatPr baseColWidth="8" defaultColWidth="8.6328125" defaultRowHeight="14.5"/>
  <cols>
    <col width="25" customWidth="1" min="1" max="1"/>
    <col width="13" customWidth="1" min="2" max="2"/>
    <col width="15" customWidth="1" min="3" max="3"/>
    <col width="17" customWidth="1" min="4" max="4"/>
    <col width="12" customWidth="1" min="5" max="6"/>
  </cols>
  <sheetData>
    <row r="1" ht="18" customHeight="1">
      <c r="A1" s="18" t="inlineStr">
        <is>
          <t>Portfolio Concentration Analysis</t>
        </is>
      </c>
    </row>
    <row r="3" ht="15.5" customHeight="1">
      <c r="A3" s="23" t="inlineStr">
        <is>
          <t>Borrower Concentration</t>
        </is>
      </c>
    </row>
    <row r="4">
      <c r="A4" s="5" t="inlineStr">
        <is>
          <t>Rank</t>
        </is>
      </c>
      <c r="B4" s="5" t="inlineStr">
        <is>
          <t>Borrower</t>
        </is>
      </c>
      <c r="C4" s="5" t="inlineStr">
        <is>
          <t>EUR Exposure</t>
        </is>
      </c>
      <c r="D4" s="5" t="inlineStr">
        <is>
          <t>% of Portfolio</t>
        </is>
      </c>
      <c r="E4" s="5" t="inlineStr">
        <is>
          <t>Limit</t>
        </is>
      </c>
      <c r="F4" s="5" t="inlineStr">
        <is>
          <t>Status</t>
        </is>
      </c>
    </row>
    <row r="5">
      <c r="A5" s="29" t="inlineStr">
        <is>
          <t>Populated by VBA engine at runtime</t>
        </is>
      </c>
      <c r="C5" s="45" t="n"/>
      <c r="D5" s="46" t="n"/>
      <c r="E5" s="46" t="n"/>
      <c r="F5" s="47" t="n"/>
    </row>
    <row r="6">
      <c r="C6" s="45" t="n"/>
      <c r="D6" s="46" t="n"/>
      <c r="E6" s="46" t="n"/>
      <c r="F6" s="47" t="n"/>
    </row>
    <row r="7">
      <c r="C7" s="45" t="n"/>
      <c r="D7" s="46" t="n"/>
      <c r="E7" s="46" t="n"/>
      <c r="F7" s="47" t="n"/>
    </row>
    <row r="8">
      <c r="C8" s="45" t="n"/>
      <c r="D8" s="46" t="n"/>
      <c r="E8" s="46" t="n"/>
      <c r="F8" s="47" t="n"/>
    </row>
    <row r="9">
      <c r="C9" s="45" t="n"/>
      <c r="D9" s="46" t="n"/>
      <c r="E9" s="46" t="n"/>
      <c r="F9" s="47" t="n"/>
    </row>
    <row r="10">
      <c r="C10" s="45" t="n"/>
      <c r="D10" s="46" t="n"/>
      <c r="E10" s="46" t="n"/>
      <c r="F10" s="47" t="n"/>
    </row>
    <row r="11">
      <c r="C11" s="45" t="n"/>
      <c r="D11" s="46" t="n"/>
      <c r="E11" s="46" t="n"/>
      <c r="F11" s="44" t="n"/>
    </row>
    <row r="12">
      <c r="C12" s="45" t="n"/>
      <c r="D12" s="46" t="n"/>
      <c r="E12" s="46" t="n"/>
      <c r="F12" s="44" t="n"/>
    </row>
    <row r="13">
      <c r="C13" s="45" t="n"/>
      <c r="D13" s="46" t="n"/>
      <c r="E13" s="46" t="n"/>
      <c r="F13" s="44" t="n"/>
    </row>
    <row r="14">
      <c r="C14" s="45" t="n"/>
      <c r="D14" s="46" t="n"/>
      <c r="E14" s="46" t="n"/>
      <c r="F14" s="44" t="n"/>
    </row>
    <row r="15"/>
    <row r="16">
      <c r="B16" s="40" t="n"/>
      <c r="C16" s="45" t="n"/>
      <c r="D16" s="46" t="n"/>
      <c r="E16" s="46" t="n"/>
      <c r="F16" s="42" t="n"/>
    </row>
    <row r="17" ht="15.5" customHeight="1">
      <c r="A17" s="23" t="inlineStr">
        <is>
          <t>Sector Concentration</t>
        </is>
      </c>
    </row>
    <row r="18">
      <c r="A18" s="5" t="inlineStr">
        <is>
          <t>Sector</t>
        </is>
      </c>
      <c r="B18" s="5" t="inlineStr">
        <is>
          <t>Loan Count</t>
        </is>
      </c>
      <c r="C18" s="5" t="inlineStr">
        <is>
          <t>EUR Exposure</t>
        </is>
      </c>
      <c r="D18" s="5" t="inlineStr">
        <is>
          <t>% of Portfolio</t>
        </is>
      </c>
      <c r="E18" s="5" t="inlineStr">
        <is>
          <t>Limit</t>
        </is>
      </c>
      <c r="F18" s="5" t="inlineStr">
        <is>
          <t>Status</t>
        </is>
      </c>
    </row>
    <row r="19">
      <c r="C19" s="45" t="n"/>
      <c r="D19" s="46" t="n"/>
      <c r="E19" s="46" t="n"/>
      <c r="F19" s="47" t="n"/>
    </row>
    <row r="20">
      <c r="C20" s="45" t="n"/>
      <c r="D20" s="46" t="n"/>
      <c r="E20" s="46" t="n"/>
      <c r="F20" s="44" t="n"/>
    </row>
    <row r="21">
      <c r="C21" s="45" t="n"/>
      <c r="D21" s="46" t="n"/>
      <c r="E21" s="46" t="n"/>
      <c r="F21" s="44" t="n"/>
    </row>
    <row r="22">
      <c r="C22" s="45" t="n"/>
      <c r="D22" s="46" t="n"/>
      <c r="E22" s="46" t="n"/>
      <c r="F22" s="44" t="n"/>
    </row>
    <row r="23">
      <c r="C23" s="45" t="n"/>
      <c r="D23" s="46" t="n"/>
      <c r="E23" s="46" t="n"/>
      <c r="F23" s="44" t="n"/>
    </row>
    <row r="24">
      <c r="C24" s="45" t="n"/>
      <c r="D24" s="46" t="n"/>
      <c r="E24" s="46" t="n"/>
      <c r="F24" s="44" t="n"/>
    </row>
    <row r="25">
      <c r="C25" s="45" t="n"/>
      <c r="D25" s="46" t="n"/>
      <c r="E25" s="46" t="n"/>
      <c r="F25" s="44" t="n"/>
    </row>
    <row r="26">
      <c r="C26" s="45" t="n"/>
      <c r="D26" s="46" t="n"/>
      <c r="E26" s="46" t="n"/>
      <c r="F26" s="44" t="n"/>
    </row>
    <row r="27">
      <c r="C27" s="45" t="n"/>
      <c r="D27" s="46" t="n"/>
      <c r="E27" s="46" t="n"/>
      <c r="F27" s="44" t="n"/>
    </row>
    <row r="28">
      <c r="C28" s="45" t="n"/>
      <c r="D28" s="46" t="n"/>
      <c r="E28" s="46" t="n"/>
      <c r="F28" s="44" t="n"/>
    </row>
    <row r="29"/>
    <row r="30"/>
    <row r="31" ht="15.5" customHeight="1">
      <c r="A31" s="23" t="inlineStr">
        <is>
          <t>Country Concentration</t>
        </is>
      </c>
    </row>
    <row r="32">
      <c r="A32" s="5" t="inlineStr">
        <is>
          <t>Country</t>
        </is>
      </c>
      <c r="B32" s="5" t="inlineStr">
        <is>
          <t>Loan Count</t>
        </is>
      </c>
      <c r="C32" s="5" t="inlineStr">
        <is>
          <t>EUR Exposure</t>
        </is>
      </c>
      <c r="D32" s="5" t="inlineStr">
        <is>
          <t>% of Portfolio</t>
        </is>
      </c>
      <c r="E32" s="5" t="inlineStr">
        <is>
          <t>Limit</t>
        </is>
      </c>
      <c r="F32" s="5" t="inlineStr">
        <is>
          <t>Status</t>
        </is>
      </c>
    </row>
    <row r="33">
      <c r="C33" s="45" t="n"/>
      <c r="D33" s="46" t="n"/>
      <c r="E33" s="46" t="n"/>
      <c r="F33" s="47" t="n"/>
    </row>
    <row r="34">
      <c r="C34" s="45" t="n"/>
      <c r="D34" s="46" t="n"/>
      <c r="E34" s="46" t="n"/>
      <c r="F34" s="44" t="n"/>
    </row>
    <row r="35">
      <c r="C35" s="45" t="n"/>
      <c r="D35" s="46" t="n"/>
      <c r="E35" s="46" t="n"/>
      <c r="F35" s="44" t="n"/>
    </row>
    <row r="36">
      <c r="C36" s="45" t="n"/>
      <c r="D36" s="46" t="n"/>
      <c r="E36" s="46" t="n"/>
      <c r="F36" s="44" t="n"/>
    </row>
    <row r="37">
      <c r="C37" s="45" t="n"/>
      <c r="D37" s="46" t="n"/>
      <c r="E37" s="46" t="n"/>
      <c r="F37" s="44" t="n"/>
    </row>
    <row r="38">
      <c r="C38" s="45" t="n"/>
      <c r="D38" s="46" t="n"/>
      <c r="E38" s="46" t="n"/>
      <c r="F38" s="44" t="n"/>
    </row>
    <row r="39">
      <c r="C39" s="45" t="n"/>
      <c r="D39" s="46" t="n"/>
      <c r="E39" s="46" t="n"/>
      <c r="F39" s="44" t="n"/>
    </row>
    <row r="40">
      <c r="C40" s="45" t="n"/>
      <c r="D40" s="46" t="n"/>
      <c r="E40" s="46" t="n"/>
      <c r="F40" s="44" t="n"/>
    </row>
    <row r="41">
      <c r="C41" s="45" t="n"/>
      <c r="D41" s="46" t="n"/>
      <c r="E41" s="46" t="n"/>
      <c r="F41" s="44" t="n"/>
    </row>
    <row r="42">
      <c r="C42" s="45" t="n"/>
      <c r="D42" s="46" t="n"/>
      <c r="E42" s="46" t="n"/>
      <c r="F42" s="44" t="n"/>
    </row>
    <row r="43"/>
    <row r="44"/>
    <row r="45"/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7">
    <tabColor rgb="FF2E5090"/>
    <outlinePr summaryBelow="1" summaryRight="1"/>
    <pageSetUpPr/>
  </sheetPr>
  <dimension ref="A1:M47"/>
  <sheetViews>
    <sheetView zoomScaleNormal="100" workbookViewId="0">
      <pane ySplit="3" topLeftCell="A4" activePane="bottomLeft" state="frozen"/>
      <selection pane="bottomLeft" activeCell="A1" sqref="A1:L1"/>
    </sheetView>
  </sheetViews>
  <sheetFormatPr baseColWidth="8" defaultColWidth="8.6328125" defaultRowHeight="14.5"/>
  <cols>
    <col width="25" customWidth="1" min="1" max="1"/>
    <col width="12" customWidth="1" min="2" max="5"/>
    <col width="14" customWidth="1" min="6" max="6"/>
    <col width="17" customWidth="1" min="7" max="7"/>
    <col width="12" customWidth="1" min="8" max="8"/>
    <col width="16" customWidth="1" min="9" max="10"/>
    <col width="19" customWidth="1" min="11" max="11"/>
    <col width="17" customWidth="1" min="12" max="12"/>
    <col width="18" customWidth="1" min="13" max="13"/>
  </cols>
  <sheetData>
    <row r="1" ht="18" customHeight="1">
      <c r="A1" s="18" t="inlineStr">
        <is>
          <t>Eligibility Validation Results</t>
        </is>
      </c>
    </row>
    <row r="3">
      <c r="A3" s="5" t="inlineStr">
        <is>
          <t>Loan ID</t>
        </is>
      </c>
      <c r="B3" s="5" t="inlineStr">
        <is>
          <t>Borrower</t>
        </is>
      </c>
      <c r="C3" s="5" t="inlineStr">
        <is>
          <t>Country</t>
        </is>
      </c>
      <c r="D3" s="5" t="inlineStr">
        <is>
          <t>Loan EUR</t>
        </is>
      </c>
      <c r="E3" s="5" t="inlineStr">
        <is>
          <t>Loan Size</t>
        </is>
      </c>
      <c r="F3" s="5" t="inlineStr">
        <is>
          <t>Revenue Cap</t>
        </is>
      </c>
      <c r="G3" s="5" t="inlineStr">
        <is>
          <t>Employee Limit</t>
        </is>
      </c>
      <c r="H3" s="5" t="inlineStr">
        <is>
          <t>Maturity</t>
        </is>
      </c>
      <c r="I3" s="5" t="inlineStr">
        <is>
          <t>Interest Rate</t>
        </is>
      </c>
      <c r="J3" s="5" t="inlineStr">
        <is>
          <t>Guarantee Cap</t>
        </is>
      </c>
      <c r="K3" s="5" t="inlineStr">
        <is>
          <t>Origination Date</t>
        </is>
      </c>
      <c r="L3" s="5" t="inlineStr">
        <is>
          <t>Overall Result</t>
        </is>
      </c>
      <c r="M3" s="5" t="inlineStr">
        <is>
          <t>Failure Reasons</t>
        </is>
      </c>
    </row>
    <row r="4">
      <c r="A4" t="inlineStr">
        <is>
          <t>Populated by VBA engine at runtime</t>
        </is>
      </c>
      <c r="D4" s="45" t="n"/>
      <c r="E4" s="56" t="n"/>
      <c r="F4" s="56" t="n"/>
      <c r="G4" s="56" t="n"/>
      <c r="H4" s="56" t="n"/>
      <c r="I4" s="56" t="n"/>
      <c r="J4" s="56" t="n"/>
      <c r="K4" s="56" t="n"/>
      <c r="L4" s="57" t="n"/>
    </row>
    <row r="5">
      <c r="D5" s="45" t="n"/>
      <c r="E5" s="56" t="n"/>
      <c r="F5" s="56" t="n"/>
      <c r="G5" s="56" t="n"/>
      <c r="H5" s="56" t="n"/>
      <c r="I5" s="56" t="n"/>
      <c r="J5" s="56" t="n"/>
      <c r="K5" s="56" t="n"/>
      <c r="L5" s="57" t="n"/>
    </row>
    <row r="6">
      <c r="D6" s="45" t="n"/>
      <c r="E6" s="58" t="n"/>
      <c r="F6" s="56" t="n"/>
      <c r="G6" s="56" t="n"/>
      <c r="H6" s="56" t="n"/>
      <c r="I6" s="56" t="n"/>
      <c r="J6" s="56" t="n"/>
      <c r="K6" s="56" t="n"/>
      <c r="L6" s="59" t="n"/>
    </row>
    <row r="7">
      <c r="D7" s="45" t="n"/>
      <c r="E7" s="56" t="n"/>
      <c r="F7" s="56" t="n"/>
      <c r="G7" s="56" t="n"/>
      <c r="H7" s="56" t="n"/>
      <c r="I7" s="56" t="n"/>
      <c r="J7" s="56" t="n"/>
      <c r="K7" s="56" t="n"/>
      <c r="L7" s="57" t="n"/>
    </row>
    <row r="8">
      <c r="D8" s="45" t="n"/>
      <c r="E8" s="56" t="n"/>
      <c r="F8" s="56" t="n"/>
      <c r="G8" s="56" t="n"/>
      <c r="H8" s="56" t="n"/>
      <c r="I8" s="56" t="n"/>
      <c r="J8" s="56" t="n"/>
      <c r="K8" s="56" t="n"/>
      <c r="L8" s="57" t="n"/>
    </row>
    <row r="9">
      <c r="D9" s="45" t="n"/>
      <c r="E9" s="58" t="n"/>
      <c r="F9" s="56" t="n"/>
      <c r="G9" s="56" t="n"/>
      <c r="H9" s="56" t="n"/>
      <c r="I9" s="56" t="n"/>
      <c r="J9" s="56" t="n"/>
      <c r="K9" s="56" t="n"/>
      <c r="L9" s="59" t="n"/>
    </row>
    <row r="10">
      <c r="D10" s="45" t="n"/>
      <c r="E10" s="56" t="n"/>
      <c r="F10" s="56" t="n"/>
      <c r="G10" s="56" t="n"/>
      <c r="H10" s="58" t="n"/>
      <c r="I10" s="56" t="n"/>
      <c r="J10" s="56" t="n"/>
      <c r="K10" s="56" t="n"/>
      <c r="L10" s="59" t="n"/>
    </row>
    <row r="11">
      <c r="D11" s="45" t="n"/>
      <c r="E11" s="56" t="n"/>
      <c r="F11" s="56" t="n"/>
      <c r="G11" s="56" t="n"/>
      <c r="H11" s="56" t="n"/>
      <c r="I11" s="56" t="n"/>
      <c r="J11" s="56" t="n"/>
      <c r="K11" s="56" t="n"/>
      <c r="L11" s="57" t="n"/>
    </row>
    <row r="12">
      <c r="D12" s="45" t="n"/>
      <c r="E12" s="58" t="n"/>
      <c r="F12" s="56" t="n"/>
      <c r="G12" s="56" t="n"/>
      <c r="H12" s="56" t="n"/>
      <c r="I12" s="56" t="n"/>
      <c r="J12" s="56" t="n"/>
      <c r="K12" s="56" t="n"/>
      <c r="L12" s="59" t="n"/>
    </row>
    <row r="13">
      <c r="D13" s="45" t="n"/>
      <c r="E13" s="56" t="n"/>
      <c r="F13" s="58" t="n"/>
      <c r="G13" s="56" t="n"/>
      <c r="H13" s="56" t="n"/>
      <c r="I13" s="56" t="n"/>
      <c r="J13" s="56" t="n"/>
      <c r="K13" s="56" t="n"/>
      <c r="L13" s="59" t="n"/>
    </row>
    <row r="14">
      <c r="D14" s="45" t="n"/>
      <c r="E14" s="56" t="n"/>
      <c r="F14" s="56" t="n"/>
      <c r="G14" s="56" t="n"/>
      <c r="H14" s="56" t="n"/>
      <c r="I14" s="56" t="n"/>
      <c r="J14" s="56" t="n"/>
      <c r="K14" s="56" t="n"/>
      <c r="L14" s="57" t="n"/>
    </row>
    <row r="15">
      <c r="D15" s="45" t="n"/>
      <c r="E15" s="58" t="n"/>
      <c r="F15" s="56" t="n"/>
      <c r="G15" s="56" t="n"/>
      <c r="H15" s="56" t="n"/>
      <c r="I15" s="56" t="n"/>
      <c r="J15" s="56" t="n"/>
      <c r="K15" s="56" t="n"/>
      <c r="L15" s="59" t="n"/>
    </row>
    <row r="16">
      <c r="D16" s="45" t="n"/>
      <c r="E16" s="56" t="n"/>
      <c r="F16" s="56" t="n"/>
      <c r="G16" s="58" t="n"/>
      <c r="H16" s="56" t="n"/>
      <c r="I16" s="56" t="n"/>
      <c r="J16" s="56" t="n"/>
      <c r="K16" s="56" t="n"/>
      <c r="L16" s="59" t="n"/>
    </row>
    <row r="17">
      <c r="D17" s="45" t="n"/>
      <c r="E17" s="56" t="n"/>
      <c r="F17" s="56" t="n"/>
      <c r="G17" s="56" t="n"/>
      <c r="H17" s="58" t="n"/>
      <c r="I17" s="56" t="n"/>
      <c r="J17" s="56" t="n"/>
      <c r="K17" s="56" t="n"/>
      <c r="L17" s="59" t="n"/>
    </row>
    <row r="18">
      <c r="D18" s="45" t="n"/>
      <c r="E18" s="56" t="n"/>
      <c r="F18" s="56" t="n"/>
      <c r="G18" s="56" t="n"/>
      <c r="H18" s="56" t="n"/>
      <c r="I18" s="56" t="n"/>
      <c r="J18" s="56" t="n"/>
      <c r="K18" s="56" t="n"/>
      <c r="L18" s="57" t="n"/>
    </row>
    <row r="19">
      <c r="D19" s="45" t="n"/>
      <c r="E19" s="56" t="n"/>
      <c r="F19" s="56" t="n"/>
      <c r="G19" s="56" t="n"/>
      <c r="H19" s="56" t="n"/>
      <c r="I19" s="58" t="n"/>
      <c r="J19" s="56" t="n"/>
      <c r="K19" s="56" t="n"/>
      <c r="L19" s="59" t="n"/>
    </row>
    <row r="20">
      <c r="D20" s="45" t="n"/>
      <c r="E20" s="56" t="n"/>
      <c r="F20" s="56" t="n"/>
      <c r="G20" s="56" t="n"/>
      <c r="H20" s="56" t="n"/>
      <c r="I20" s="56" t="n"/>
      <c r="J20" s="56" t="n"/>
      <c r="K20" s="56" t="n"/>
      <c r="L20" s="57" t="n"/>
    </row>
    <row r="21">
      <c r="D21" s="45" t="n"/>
      <c r="E21" s="56" t="n"/>
      <c r="F21" s="56" t="n"/>
      <c r="G21" s="56" t="n"/>
      <c r="H21" s="56" t="n"/>
      <c r="I21" s="56" t="n"/>
      <c r="J21" s="56" t="n"/>
      <c r="K21" s="56" t="n"/>
      <c r="L21" s="57" t="n"/>
    </row>
    <row r="22">
      <c r="D22" s="45" t="n"/>
      <c r="E22" s="58" t="n"/>
      <c r="F22" s="56" t="n"/>
      <c r="G22" s="56" t="n"/>
      <c r="H22" s="56" t="n"/>
      <c r="I22" s="56" t="n"/>
      <c r="J22" s="58" t="n"/>
      <c r="K22" s="56" t="n"/>
      <c r="L22" s="59" t="n"/>
    </row>
    <row r="23">
      <c r="D23" s="45" t="n"/>
      <c r="E23" s="58" t="n"/>
      <c r="F23" s="56" t="n"/>
      <c r="G23" s="56" t="n"/>
      <c r="H23" s="56" t="n"/>
      <c r="I23" s="56" t="n"/>
      <c r="J23" s="56" t="n"/>
      <c r="K23" s="56" t="n"/>
      <c r="L23" s="59" t="n"/>
    </row>
    <row r="24">
      <c r="D24" s="45" t="n"/>
      <c r="E24" s="56" t="n"/>
      <c r="F24" s="56" t="n"/>
      <c r="G24" s="56" t="n"/>
      <c r="H24" s="58" t="n"/>
      <c r="I24" s="56" t="n"/>
      <c r="J24" s="56" t="n"/>
      <c r="K24" s="56" t="n"/>
      <c r="L24" s="59" t="n"/>
    </row>
    <row r="25">
      <c r="D25" s="45" t="n"/>
      <c r="E25" s="56" t="n"/>
      <c r="F25" s="56" t="n"/>
      <c r="G25" s="60" t="n"/>
      <c r="H25" s="56" t="n"/>
      <c r="I25" s="56" t="n"/>
      <c r="J25" s="56" t="n"/>
      <c r="K25" s="56" t="n"/>
      <c r="L25" s="59" t="n"/>
    </row>
    <row r="26">
      <c r="D26" s="45" t="n"/>
      <c r="E26" s="56" t="n"/>
      <c r="F26" s="56" t="n"/>
      <c r="G26" s="56" t="n"/>
      <c r="H26" s="56" t="n"/>
      <c r="I26" s="56" t="n"/>
      <c r="J26" s="56" t="n"/>
      <c r="K26" s="58" t="n"/>
      <c r="L26" s="59" t="n"/>
    </row>
    <row r="27">
      <c r="D27" s="45" t="n"/>
      <c r="E27" s="56" t="n"/>
      <c r="F27" s="60" t="n"/>
      <c r="G27" s="56" t="n"/>
      <c r="H27" s="56" t="n"/>
      <c r="I27" s="56" t="n"/>
      <c r="J27" s="56" t="n"/>
      <c r="K27" s="56" t="n"/>
      <c r="L27" s="59" t="n"/>
    </row>
    <row r="28">
      <c r="D28" s="45" t="n"/>
      <c r="E28" s="56" t="n"/>
      <c r="F28" s="56" t="n"/>
      <c r="G28" s="56" t="n"/>
      <c r="H28" s="60" t="n"/>
      <c r="I28" s="56" t="n"/>
      <c r="J28" s="56" t="n"/>
      <c r="K28" s="56" t="n"/>
      <c r="L28" s="59" t="n"/>
    </row>
    <row r="29">
      <c r="D29" s="45" t="n"/>
      <c r="E29" s="56" t="n"/>
      <c r="F29" s="56" t="n"/>
      <c r="G29" s="56" t="n"/>
      <c r="H29" s="56" t="n"/>
      <c r="I29" s="56" t="n"/>
      <c r="J29" s="56" t="n"/>
      <c r="K29" s="56" t="n"/>
      <c r="L29" s="57" t="n"/>
    </row>
    <row r="30">
      <c r="D30" s="45" t="n"/>
      <c r="E30" s="58" t="n"/>
      <c r="F30" s="56" t="n"/>
      <c r="G30" s="56" t="n"/>
      <c r="H30" s="56" t="n"/>
      <c r="I30" s="56" t="n"/>
      <c r="J30" s="56" t="n"/>
      <c r="K30" s="56" t="n"/>
      <c r="L30" s="59" t="n"/>
    </row>
    <row r="31">
      <c r="D31" s="45" t="n"/>
      <c r="E31" s="56" t="n"/>
      <c r="F31" s="56" t="n"/>
      <c r="G31" s="56" t="n"/>
      <c r="H31" s="60" t="n"/>
      <c r="I31" s="56" t="n"/>
      <c r="J31" s="56" t="n"/>
      <c r="K31" s="60" t="n"/>
      <c r="L31" s="59" t="n"/>
    </row>
    <row r="32">
      <c r="D32" s="45" t="n"/>
      <c r="E32" s="58" t="n"/>
      <c r="F32" s="56" t="n"/>
      <c r="G32" s="56" t="n"/>
      <c r="H32" s="56" t="n"/>
      <c r="I32" s="56" t="n"/>
      <c r="J32" s="56" t="n"/>
      <c r="K32" s="56" t="n"/>
      <c r="L32" s="59" t="n"/>
    </row>
    <row r="33">
      <c r="D33" s="45" t="n"/>
      <c r="E33" s="56" t="n"/>
      <c r="F33" s="56" t="n"/>
      <c r="G33" s="56" t="n"/>
      <c r="H33" s="56" t="n"/>
      <c r="I33" s="56" t="n"/>
      <c r="J33" s="56" t="n"/>
      <c r="K33" s="56" t="n"/>
      <c r="L33" s="57" t="n"/>
    </row>
    <row r="34">
      <c r="D34" s="45" t="n"/>
      <c r="E34" s="56" t="n"/>
      <c r="F34" s="56" t="n"/>
      <c r="G34" s="56" t="n"/>
      <c r="H34" s="56" t="n"/>
      <c r="I34" s="56" t="n"/>
      <c r="J34" s="56" t="n"/>
      <c r="K34" s="56" t="n"/>
      <c r="L34" s="57" t="n"/>
    </row>
    <row r="35">
      <c r="D35" s="45" t="n"/>
      <c r="E35" s="56" t="n"/>
      <c r="F35" s="56" t="n"/>
      <c r="G35" s="56" t="n"/>
      <c r="H35" s="56" t="n"/>
      <c r="I35" s="56" t="n"/>
      <c r="J35" s="56" t="n"/>
      <c r="K35" s="56" t="n"/>
      <c r="L35" s="57" t="n"/>
    </row>
    <row r="36">
      <c r="D36" s="45" t="n"/>
      <c r="E36" s="56" t="n"/>
      <c r="F36" s="56" t="n"/>
      <c r="G36" s="56" t="n"/>
      <c r="H36" s="56" t="n"/>
      <c r="I36" s="56" t="n"/>
      <c r="J36" s="56" t="n"/>
      <c r="K36" s="56" t="n"/>
      <c r="L36" s="57" t="n"/>
    </row>
    <row r="37">
      <c r="D37" s="45" t="n"/>
      <c r="E37" s="56" t="n"/>
      <c r="F37" s="56" t="n"/>
      <c r="G37" s="56" t="n"/>
      <c r="H37" s="56" t="n"/>
      <c r="I37" s="56" t="n"/>
      <c r="J37" s="56" t="n"/>
      <c r="K37" s="56" t="n"/>
      <c r="L37" s="57" t="n"/>
    </row>
    <row r="38">
      <c r="D38" s="45" t="n"/>
      <c r="E38" s="56" t="n"/>
      <c r="F38" s="56" t="n"/>
      <c r="G38" s="56" t="n"/>
      <c r="H38" s="56" t="n"/>
      <c r="I38" s="56" t="n"/>
      <c r="J38" s="56" t="n"/>
      <c r="K38" s="56" t="n"/>
      <c r="L38" s="57" t="n"/>
    </row>
    <row r="39">
      <c r="D39" s="45" t="n"/>
      <c r="E39" s="56" t="n"/>
      <c r="F39" s="56" t="n"/>
      <c r="G39" s="56" t="n"/>
      <c r="H39" s="56" t="n"/>
      <c r="I39" s="56" t="n"/>
      <c r="J39" s="56" t="n"/>
      <c r="K39" s="56" t="n"/>
      <c r="L39" s="57" t="n"/>
    </row>
    <row r="40">
      <c r="D40" s="45" t="n"/>
      <c r="E40" s="56" t="n"/>
      <c r="F40" s="56" t="n"/>
      <c r="G40" s="56" t="n"/>
      <c r="H40" s="56" t="n"/>
      <c r="I40" s="56" t="n"/>
      <c r="J40" s="56" t="n"/>
      <c r="K40" s="56" t="n"/>
      <c r="L40" s="57" t="n"/>
    </row>
    <row r="41">
      <c r="D41" s="45" t="n"/>
      <c r="E41" s="58" t="n"/>
      <c r="F41" s="56" t="n"/>
      <c r="G41" s="56" t="n"/>
      <c r="H41" s="56" t="n"/>
      <c r="I41" s="56" t="n"/>
      <c r="J41" s="56" t="n"/>
      <c r="K41" s="56" t="n"/>
      <c r="L41" s="59" t="n"/>
    </row>
    <row r="42">
      <c r="D42" s="45" t="n"/>
      <c r="E42" s="56" t="n"/>
      <c r="F42" s="56" t="n"/>
      <c r="G42" s="56" t="n"/>
      <c r="H42" s="56" t="n"/>
      <c r="I42" s="56" t="n"/>
      <c r="J42" s="56" t="n"/>
      <c r="K42" s="56" t="n"/>
      <c r="L42" s="57" t="n"/>
    </row>
    <row r="43">
      <c r="D43" s="45" t="n"/>
      <c r="E43" s="56" t="n"/>
      <c r="F43" s="56" t="n"/>
      <c r="G43" s="56" t="n"/>
      <c r="H43" s="56" t="n"/>
      <c r="I43" s="56" t="n"/>
      <c r="J43" s="56" t="n"/>
      <c r="K43" s="56" t="n"/>
      <c r="L43" s="57" t="n"/>
    </row>
    <row r="44">
      <c r="D44" s="45" t="n"/>
      <c r="E44" s="56" t="n"/>
      <c r="F44" s="56" t="n"/>
      <c r="G44" s="56" t="n"/>
      <c r="H44" s="56" t="n"/>
      <c r="I44" s="56" t="n"/>
      <c r="J44" s="56" t="n"/>
      <c r="K44" s="56" t="n"/>
      <c r="L44" s="57" t="n"/>
    </row>
    <row r="45">
      <c r="D45" s="45" t="n"/>
      <c r="E45" s="56" t="n"/>
      <c r="F45" s="56" t="n"/>
      <c r="G45" s="56" t="n"/>
      <c r="H45" s="56" t="n"/>
      <c r="I45" s="56" t="n"/>
      <c r="J45" s="56" t="n"/>
      <c r="K45" s="56" t="n"/>
      <c r="L45" s="57" t="n"/>
    </row>
    <row r="46">
      <c r="D46" s="45" t="n"/>
      <c r="E46" s="56" t="n"/>
      <c r="F46" s="56" t="n"/>
      <c r="G46" s="56" t="n"/>
      <c r="H46" s="56" t="n"/>
      <c r="I46" s="56" t="n"/>
      <c r="J46" s="56" t="n"/>
      <c r="K46" s="56" t="n"/>
      <c r="L46" s="57" t="n"/>
    </row>
    <row r="47">
      <c r="D47" s="45" t="n"/>
      <c r="E47" s="56" t="n"/>
      <c r="F47" s="56" t="n"/>
      <c r="G47" s="56" t="n"/>
      <c r="H47" s="56" t="n"/>
      <c r="I47" s="56" t="n"/>
      <c r="J47" s="56" t="n"/>
      <c r="K47" s="56" t="n"/>
      <c r="L47" s="57" t="n"/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Sheet8">
    <tabColor rgb="FF1B2A4A"/>
    <outlinePr summaryBelow="1" summaryRight="1"/>
    <pageSetUpPr/>
  </sheetPr>
  <dimension ref="A1:I30"/>
  <sheetViews>
    <sheetView showGridLines="0" topLeftCell="E1" zoomScaleNormal="100" workbookViewId="0">
      <selection activeCell="I1" sqref="I1"/>
    </sheetView>
  </sheetViews>
  <sheetFormatPr baseColWidth="8" defaultColWidth="8.6328125" defaultRowHeight="14.5"/>
  <cols>
    <col width="25" customWidth="1" min="1" max="1"/>
    <col width="24" customWidth="1" min="2" max="2"/>
    <col width="25" customWidth="1" min="3" max="4"/>
    <col width="20" customWidth="1" min="5" max="5"/>
    <col width="24" customWidth="1" min="6" max="6"/>
    <col width="15" customWidth="1" min="7" max="8"/>
  </cols>
  <sheetData>
    <row r="1" ht="18" customHeight="1">
      <c r="A1" s="18" t="inlineStr">
        <is>
          <t>Eligibility Check Dashboard</t>
        </is>
      </c>
    </row>
    <row r="3" ht="18" customHeight="1">
      <c r="A3" s="40" t="inlineStr">
        <is>
          <t>Total Loans Submitted</t>
        </is>
      </c>
      <c r="B3" s="18" t="n"/>
      <c r="C3" s="48" t="inlineStr">
        <is>
          <t>Populated by VBA engine</t>
        </is>
      </c>
      <c r="D3" s="49" t="n"/>
      <c r="E3" s="18" t="inlineStr">
        <is>
          <t>Ineligible Loans</t>
        </is>
      </c>
      <c r="F3" s="50" t="n"/>
      <c r="G3" s="18" t="n"/>
    </row>
    <row r="4"/>
    <row r="5" ht="18" customHeight="1">
      <c r="A5" s="40" t="inlineStr">
        <is>
          <t>Eligibility Rate</t>
        </is>
      </c>
      <c r="B5" s="51" t="n"/>
      <c r="C5" s="18" t="inlineStr">
        <is>
          <t>Total EUR Exposure</t>
        </is>
      </c>
      <c r="D5" s="52" t="n"/>
      <c r="E5" s="18" t="inlineStr">
        <is>
          <t>Eligible EUR Exposure</t>
        </is>
      </c>
      <c r="F5" s="52" t="n"/>
      <c r="G5" s="18" t="n"/>
    </row>
    <row r="6"/>
    <row r="7" ht="18" customHeight="1">
      <c r="A7" s="40" t="inlineStr">
        <is>
          <t>Data Integrity Issues</t>
        </is>
      </c>
      <c r="B7" s="53" t="n"/>
      <c r="C7" s="18" t="inlineStr">
        <is>
          <t>Concentration Breaches</t>
        </is>
      </c>
      <c r="D7" s="54" t="n"/>
      <c r="E7" s="18" t="inlineStr">
        <is>
          <t>Last Run</t>
        </is>
      </c>
      <c r="F7" s="55" t="n"/>
      <c r="G7" s="18" t="n"/>
    </row>
    <row r="8"/>
    <row r="9"/>
    <row r="10" ht="15.5" customHeight="1">
      <c r="A10" s="23" t="n"/>
      <c r="E10" s="2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C12" s="46" t="n"/>
      <c r="H12" s="46" t="n"/>
    </row>
    <row r="13">
      <c r="C13" s="46" t="n"/>
      <c r="H13" s="46" t="n"/>
    </row>
    <row r="14">
      <c r="C14" s="46" t="n"/>
      <c r="H14" s="46" t="n"/>
    </row>
    <row r="15">
      <c r="C15" s="46" t="n"/>
      <c r="H15" s="46" t="n"/>
    </row>
    <row r="16">
      <c r="C16" s="46" t="n"/>
      <c r="H16" s="46" t="n"/>
    </row>
    <row r="17">
      <c r="C17" s="46" t="n"/>
      <c r="H17" s="46" t="n"/>
    </row>
    <row r="18">
      <c r="C18" s="46" t="n"/>
      <c r="H18" s="46" t="n"/>
    </row>
    <row r="19">
      <c r="C19" s="46" t="n"/>
      <c r="H19" s="46" t="n"/>
    </row>
    <row r="20">
      <c r="C20" s="46" t="n"/>
      <c r="H20" s="46" t="n"/>
    </row>
    <row r="21">
      <c r="C21" s="46" t="n"/>
      <c r="H21" s="46" t="n"/>
    </row>
    <row r="22">
      <c r="C22" s="46" t="n"/>
    </row>
    <row r="23">
      <c r="C23" s="46" t="n"/>
    </row>
    <row r="24">
      <c r="C24" s="46" t="n"/>
    </row>
    <row r="25">
      <c r="C25" s="46" t="n"/>
    </row>
    <row r="26"/>
    <row r="27"/>
    <row r="28"/>
    <row r="29"/>
    <row r="30"/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codeName="Sheet9">
    <tabColor rgb="FF404040"/>
    <outlinePr summaryBelow="1" summaryRight="1"/>
    <pageSetUpPr/>
  </sheetPr>
  <dimension ref="A1:I4"/>
  <sheetViews>
    <sheetView tabSelected="1" zoomScaleNormal="100" workbookViewId="0">
      <pane ySplit="3" topLeftCell="A4" activePane="bottomLeft" state="frozen"/>
      <selection pane="bottomLeft" activeCell="A1" sqref="A1:H1"/>
    </sheetView>
  </sheetViews>
  <sheetFormatPr baseColWidth="8" defaultColWidth="8.6328125" defaultRowHeight="14.5"/>
  <cols>
    <col width="25" customWidth="1" min="1" max="1"/>
    <col width="18.1796875" bestFit="1" customWidth="1" min="2" max="2"/>
    <col width="12" customWidth="1" min="3" max="3"/>
    <col width="15" customWidth="1" min="4" max="4"/>
    <col width="20" customWidth="1" min="5" max="5"/>
    <col width="12" customWidth="1" min="6" max="6"/>
    <col width="13" customWidth="1" min="7" max="7"/>
    <col width="19" customWidth="1" min="8" max="8"/>
    <col width="12" customWidth="1" min="9" max="9"/>
  </cols>
  <sheetData>
    <row r="1" ht="18" customHeight="1">
      <c r="A1" s="18" t="inlineStr">
        <is>
          <t>Eligibility Check Audit Trail</t>
        </is>
      </c>
    </row>
    <row r="3">
      <c r="A3" s="5" t="inlineStr">
        <is>
          <t>Run #</t>
        </is>
      </c>
      <c r="B3" s="5" t="inlineStr">
        <is>
          <t>Timestamp</t>
        </is>
      </c>
      <c r="C3" s="5" t="inlineStr">
        <is>
          <t>User</t>
        </is>
      </c>
      <c r="D3" s="5" t="inlineStr">
        <is>
          <t>Criteria Set</t>
        </is>
      </c>
      <c r="E3" s="5" t="inlineStr">
        <is>
          <t>Records Processed</t>
        </is>
      </c>
      <c r="F3" s="5" t="inlineStr">
        <is>
          <t>Eligible</t>
        </is>
      </c>
      <c r="G3" s="5" t="inlineStr">
        <is>
          <t>Ineligible</t>
        </is>
      </c>
      <c r="H3" s="5" t="inlineStr">
        <is>
          <t>Integrity Issues</t>
        </is>
      </c>
      <c r="I3" s="5" t="inlineStr">
        <is>
          <t>Notes</t>
        </is>
      </c>
    </row>
    <row r="4">
      <c r="A4" s="63" t="n"/>
      <c r="B4" s="64" t="n"/>
      <c r="C4" s="63" t="n"/>
      <c r="D4" s="63" t="n"/>
      <c r="E4" s="63" t="n"/>
      <c r="F4" s="65" t="n"/>
      <c r="G4" s="66" t="n"/>
      <c r="H4" s="63" t="n"/>
      <c r="I4" s="63" t="n"/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2026-03-08T11:34:49Z</dcterms:created>
  <dcterms:modified xmlns:dcterms="http://purl.org/dc/terms/" xmlns:xsi="http://www.w3.org/2001/XMLSchema-instance" xsi:type="dcterms:W3CDTF">2026-03-08T12:39:45Z</dcterms:modified>
  <cp:lastModifiedBy>Akhil Vohra</cp:lastModifiedBy>
  <cp:revision>0</cp:revision>
</cp:coreProperties>
</file>